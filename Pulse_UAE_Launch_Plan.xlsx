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ech Stack" sheetId="2" state="visible" r:id="rId4"/>
    <sheet name="Development Roadmap" sheetId="3" state="visible" r:id="rId5"/>
    <sheet name="UAE Legal &amp; Compliance" sheetId="4" state="visible" r:id="rId6"/>
    <sheet name="Monthly Burn" sheetId="5" state="visible" r:id="rId7"/>
    <sheet name="Launch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<sst xmlns="http://schemas.openxmlformats.org/spreadsheetml/2006/main" count="538" uniqueCount="417">
  <si>
    <t xml:space="preserve">PULSE — UAE PILOT LAUNCH PLAN</t>
  </si>
  <si>
    <t xml:space="preserve">Complete Cost Breakdown &amp; Tech Stack — Demo to Live</t>
  </si>
  <si>
    <t xml:space="preserve">COST SUMMARY</t>
  </si>
  <si>
    <t xml:space="preserve">Category</t>
  </si>
  <si>
    <t xml:space="preserve">Year 1 Cost (AED)</t>
  </si>
  <si>
    <t xml:space="preserve">Monthly Run Rate</t>
  </si>
  <si>
    <t xml:space="preserve">Notes</t>
  </si>
  <si>
    <t xml:space="preserve">Development (MVP)</t>
  </si>
  <si>
    <t xml:space="preserve">2 devs × 12 weeks</t>
  </si>
  <si>
    <t xml:space="preserve">Infrastructure &amp; Hosting</t>
  </si>
  <si>
    <t xml:space="preserve">Servers + CDN + domain</t>
  </si>
  <si>
    <t xml:space="preserve">Video Infrastructure</t>
  </si>
  <si>
    <t xml:space="preserve">Jitsi self-hosted on Hetzner</t>
  </si>
  <si>
    <t xml:space="preserve">Payment Gateway Setup</t>
  </si>
  <si>
    <t xml:space="preserve">PayTabs onboarding (no monthly fee)</t>
  </si>
  <si>
    <t xml:space="preserve">App Store Fees</t>
  </si>
  <si>
    <t xml:space="preserve">Apple $99/yr + Google $25 one-time</t>
  </si>
  <si>
    <t xml:space="preserve">SMS/Email Services</t>
  </si>
  <si>
    <t xml:space="preserve">AWS SNS + Resend</t>
  </si>
  <si>
    <t xml:space="preserve">Content Moderation</t>
  </si>
  <si>
    <t xml:space="preserve">NSFWJS + Azure free tier</t>
  </si>
  <si>
    <t xml:space="preserve">Legal &amp; Business Setup</t>
  </si>
  <si>
    <t xml:space="preserve">Freezone license + visa</t>
  </si>
  <si>
    <t xml:space="preserve">Age Verification</t>
  </si>
  <si>
    <t xml:space="preserve">TRA compliance integration</t>
  </si>
  <si>
    <t xml:space="preserve">Marketing (Pilot)</t>
  </si>
  <si>
    <t xml:space="preserve">Influencer + launch events</t>
  </si>
  <si>
    <t xml:space="preserve">Reserve / Contingency</t>
  </si>
  <si>
    <t xml:space="preserve">Buffer for unexpected costs</t>
  </si>
  <si>
    <t xml:space="preserve">TOTAL YEAR 1</t>
  </si>
  <si>
    <t xml:space="preserve">KEY DECISION</t>
  </si>
  <si>
    <t xml:space="preserve">Total ~AED 118K ($32K) to launch a functional UAE pilot.</t>
  </si>
  <si>
    <t xml:space="preserve">This fits inside a $50K angel check or self-funded bootstrap.</t>
  </si>
  <si>
    <t xml:space="preserve">The $2.5M raise is for scaling AFTER pilot proves traction.</t>
  </si>
  <si>
    <t xml:space="preserve">TECH STACK COMPARISON — CHEAPEST VIABLE OPTIONS</t>
  </si>
  <si>
    <t xml:space="preserve">Blue = input assumptions you can change | Black = formulas | Green = cross-sheet links</t>
  </si>
  <si>
    <t xml:space="preserve">VIDEO / WEBRTC</t>
  </si>
  <si>
    <t xml:space="preserve">Provider</t>
  </si>
  <si>
    <t xml:space="preserve">Cost/Min/User</t>
  </si>
  <si>
    <t xml:space="preserve">Monthly Est.</t>
  </si>
  <si>
    <t xml:space="preserve">Free Tier</t>
  </si>
  <si>
    <t xml:space="preserve">Recommendation</t>
  </si>
  <si>
    <t xml:space="preserve">Jitsi (open source)</t>
  </si>
  <si>
    <t xml:space="preserve">FREE</t>
  </si>
  <si>
    <t xml:space="preserve">Unlimited</t>
  </si>
  <si>
    <t xml:space="preserve">MVP — self-host on Hetzner €3.49/mo</t>
  </si>
  <si>
    <t xml:space="preserve">LiveKit Cloud</t>
  </si>
  <si>
    <t xml:space="preserve">$0.0004/min</t>
  </si>
  <si>
    <t xml:space="preserve">Yes</t>
  </si>
  <si>
    <t xml:space="preserve">Scale — best price/performance ratio</t>
  </si>
  <si>
    <t xml:space="preserve">100ms</t>
  </si>
  <si>
    <t xml:space="preserve">$0.004/min</t>
  </si>
  <si>
    <t xml:space="preserve">10K min free</t>
  </si>
  <si>
    <t xml:space="preserve">Alternative — good docs, easy integration</t>
  </si>
  <si>
    <t xml:space="preserve">Daily.co</t>
  </si>
  <si>
    <t xml:space="preserve">Expensive — skip</t>
  </si>
  <si>
    <t xml:space="preserve">Agora</t>
  </si>
  <si>
    <t xml:space="preserve">$0.99/1K min</t>
  </si>
  <si>
    <t xml:space="preserve">Enterprise — overkill for pilot</t>
  </si>
  <si>
    <t xml:space="preserve">PAYMENT GATEWAY (UAE/AED)</t>
  </si>
  <si>
    <t xml:space="preserve">Transaction Fee</t>
  </si>
  <si>
    <t xml:space="preserve">Monthly Fee</t>
  </si>
  <si>
    <t xml:space="preserve">Setup Fee</t>
  </si>
  <si>
    <t xml:space="preserve">PayTabs</t>
  </si>
  <si>
    <t xml:space="preserve">2.85% + AED 0.27</t>
  </si>
  <si>
    <t xml:space="preserve">BEST — MENA-native, cheapest, no monthly</t>
  </si>
  <si>
    <t xml:space="preserve">Amazon Pay Svcs</t>
  </si>
  <si>
    <t xml:space="preserve">2.65% + AED 1.00</t>
  </si>
  <si>
    <t xml:space="preserve">Good — ex-Payfort, trusted in UAE</t>
  </si>
  <si>
    <t xml:space="preserve">Tap Payments</t>
  </si>
  <si>
    <t xml:space="preserve">2.5-3.0%</t>
  </si>
  <si>
    <t xml:space="preserve">TBD</t>
  </si>
  <si>
    <t xml:space="preserve">Good — Apple Pay + mada support</t>
  </si>
  <si>
    <t xml:space="preserve">Telr</t>
  </si>
  <si>
    <t xml:space="preserve">2.49% + AED 0.50</t>
  </si>
  <si>
    <t xml:space="preserve">AED 99</t>
  </si>
  <si>
    <t xml:space="preserve">AED 349</t>
  </si>
  <si>
    <t xml:space="preserve">Avoid — monthly fee kills unit economics</t>
  </si>
  <si>
    <t xml:space="preserve">Stripe</t>
  </si>
  <si>
    <t xml:space="preserve">2.9% + AED 1.00</t>
  </si>
  <si>
    <t xml:space="preserve">Skip — most expensive per-transaction</t>
  </si>
  <si>
    <t xml:space="preserve">BACKEND / DATABASE</t>
  </si>
  <si>
    <t xml:space="preserve">Cost/Month</t>
  </si>
  <si>
    <t xml:space="preserve">Best For</t>
  </si>
  <si>
    <t xml:space="preserve">Pocketbase</t>
  </si>
  <si>
    <t xml:space="preserve">FREE (self-host)</t>
  </si>
  <si>
    <t xml:space="preserve">MVP &lt;50K users</t>
  </si>
  <si>
    <t xml:space="preserve">MVP — zero cost, SQLite, fast</t>
  </si>
  <si>
    <t xml:space="preserve">Supabase</t>
  </si>
  <si>
    <t xml:space="preserve">AED 92/mo (Pro)</t>
  </si>
  <si>
    <t xml:space="preserve">1GB + auth</t>
  </si>
  <si>
    <t xml:space="preserve">Realtime + Auth</t>
  </si>
  <si>
    <t xml:space="preserve">Scale — Postgres, realtime lobby</t>
  </si>
  <si>
    <t xml:space="preserve">Neon Postgres</t>
  </si>
  <si>
    <t xml:space="preserve">AED 18/mo</t>
  </si>
  <si>
    <t xml:space="preserve">100 CU-hrs</t>
  </si>
  <si>
    <t xml:space="preserve">Serverless DB</t>
  </si>
  <si>
    <t xml:space="preserve">Alternative — pay-per-use</t>
  </si>
  <si>
    <t xml:space="preserve">Firebase</t>
  </si>
  <si>
    <t xml:space="preserve">Pay-per-read</t>
  </si>
  <si>
    <t xml:space="preserve">50K reads/day</t>
  </si>
  <si>
    <t xml:space="preserve">Mobile-first</t>
  </si>
  <si>
    <t xml:space="preserve">Avoid — expensive at scale</t>
  </si>
  <si>
    <t xml:space="preserve">Appwrite</t>
  </si>
  <si>
    <t xml:space="preserve">Full BaaS</t>
  </si>
  <si>
    <t xml:space="preserve">Alternative — more features than Pocketbase</t>
  </si>
  <si>
    <t xml:space="preserve">HOSTING</t>
  </si>
  <si>
    <t xml:space="preserve">Bandwidth</t>
  </si>
  <si>
    <t xml:space="preserve">Cloudflare Pages</t>
  </si>
  <si>
    <t xml:space="preserve">Frontend — free forever, global CDN</t>
  </si>
  <si>
    <t xml:space="preserve">Hetzner CX22</t>
  </si>
  <si>
    <t xml:space="preserve">AED 14/mo</t>
  </si>
  <si>
    <t xml:space="preserve">No</t>
  </si>
  <si>
    <t xml:space="preserve">20TB</t>
  </si>
  <si>
    <t xml:space="preserve">Backend — best value VPS globally</t>
  </si>
  <si>
    <t xml:space="preserve">Railway</t>
  </si>
  <si>
    <t xml:space="preserve">Trial only</t>
  </si>
  <si>
    <t xml:space="preserve">Pay-per-use</t>
  </si>
  <si>
    <t xml:space="preserve">Alternative — managed, easy deploy</t>
  </si>
  <si>
    <t xml:space="preserve">Vercel</t>
  </si>
  <si>
    <t xml:space="preserve">FREE (hobby)</t>
  </si>
  <si>
    <t xml:space="preserve">100GB/mo</t>
  </si>
  <si>
    <t xml:space="preserve">100GB</t>
  </si>
  <si>
    <t xml:space="preserve">Current demo — keep for now</t>
  </si>
  <si>
    <t xml:space="preserve">Fly.io</t>
  </si>
  <si>
    <t xml:space="preserve">AED 20+/mo</t>
  </si>
  <si>
    <t xml:space="preserve">No free tier</t>
  </si>
  <si>
    <t xml:space="preserve">Skip — removed free tier 2024</t>
  </si>
  <si>
    <t xml:space="preserve">MODERATION &amp; SAFETY</t>
  </si>
  <si>
    <t xml:space="preserve">Type</t>
  </si>
  <si>
    <t xml:space="preserve">Accuracy</t>
  </si>
  <si>
    <t xml:space="preserve">NSFWJS</t>
  </si>
  <si>
    <t xml:space="preserve">Client-side JS</t>
  </si>
  <si>
    <t xml:space="preserve">~93%</t>
  </si>
  <si>
    <t xml:space="preserve">MVP — runs in browser, zero cost</t>
  </si>
  <si>
    <t xml:space="preserve">OpenAI Moderation</t>
  </si>
  <si>
    <t xml:space="preserve">API (text)</t>
  </si>
  <si>
    <t xml:space="preserve">High</t>
  </si>
  <si>
    <t xml:space="preserve">Text moderation — free forever</t>
  </si>
  <si>
    <t xml:space="preserve">Azure Content Safety</t>
  </si>
  <si>
    <t xml:space="preserve">FREE (5K/mo)</t>
  </si>
  <si>
    <t xml:space="preserve">API (image)</t>
  </si>
  <si>
    <t xml:space="preserve">Image backup — free tier sufficient</t>
  </si>
  <si>
    <t xml:space="preserve">Google Vision</t>
  </si>
  <si>
    <t xml:space="preserve">AED 5.50/1K</t>
  </si>
  <si>
    <t xml:space="preserve">Very high</t>
  </si>
  <si>
    <t xml:space="preserve">Scale — when volume exceeds free tiers</t>
  </si>
  <si>
    <t xml:space="preserve">Hive Moderation</t>
  </si>
  <si>
    <t xml:space="preserve">AED 550+/mo</t>
  </si>
  <si>
    <t xml:space="preserve">Enterprise</t>
  </si>
  <si>
    <t xml:space="preserve">Overkill — enterprise pricing</t>
  </si>
  <si>
    <t xml:space="preserve">SMS &amp; EMAIL</t>
  </si>
  <si>
    <t xml:space="preserve">Cost/Message</t>
  </si>
  <si>
    <t xml:space="preserve">UAE Support</t>
  </si>
  <si>
    <t xml:space="preserve">AWS SNS</t>
  </si>
  <si>
    <t xml:space="preserve">AED 0.018/SMS</t>
  </si>
  <si>
    <t xml:space="preserve">N/A</t>
  </si>
  <si>
    <t xml:space="preserve">SMS OTP — 10x cheaper than Twilio</t>
  </si>
  <si>
    <t xml:space="preserve">Twilio</t>
  </si>
  <si>
    <t xml:space="preserve">AED 0.40/SMS</t>
  </si>
  <si>
    <t xml:space="preserve">Skip — expensive for UAE</t>
  </si>
  <si>
    <t xml:space="preserve">Resend</t>
  </si>
  <si>
    <t xml:space="preserve">FREE (&lt;3K/mo)</t>
  </si>
  <si>
    <t xml:space="preserve">3K emails/mo</t>
  </si>
  <si>
    <t xml:space="preserve">Email — free for pilot volume</t>
  </si>
  <si>
    <t xml:space="preserve">Postmark</t>
  </si>
  <si>
    <t xml:space="preserve">AED 55/mo</t>
  </si>
  <si>
    <t xml:space="preserve">Alternative — premium deliverability</t>
  </si>
  <si>
    <t xml:space="preserve">APP FRAMEWORK</t>
  </si>
  <si>
    <t xml:space="preserve">Option</t>
  </si>
  <si>
    <t xml:space="preserve">Dev Cost (AED)</t>
  </si>
  <si>
    <t xml:space="preserve">Timeline</t>
  </si>
  <si>
    <t xml:space="preserve">App Store</t>
  </si>
  <si>
    <t xml:space="preserve">PWA (web app)</t>
  </si>
  <si>
    <t xml:space="preserve">55,000-92,000</t>
  </si>
  <si>
    <t xml:space="preserve">8-10 weeks</t>
  </si>
  <si>
    <t xml:space="preserve">No store needed</t>
  </si>
  <si>
    <t xml:space="preserve">PHASE 1 — fastest to market, cheapest</t>
  </si>
  <si>
    <t xml:space="preserve">Flutter</t>
  </si>
  <si>
    <t xml:space="preserve">92,000-150,000</t>
  </si>
  <si>
    <t xml:space="preserve">12-16 weeks</t>
  </si>
  <si>
    <t xml:space="preserve">iOS + Android</t>
  </si>
  <si>
    <t xml:space="preserve">PHASE 2 — after PWA validates</t>
  </si>
  <si>
    <t xml:space="preserve">React Native</t>
  </si>
  <si>
    <t xml:space="preserve">110,000-185,000</t>
  </si>
  <si>
    <t xml:space="preserve">14-18 weeks</t>
  </si>
  <si>
    <t xml:space="preserve">Skip — bridge overhead hurts video</t>
  </si>
  <si>
    <t xml:space="preserve">Native (Swift+Kotlin)</t>
  </si>
  <si>
    <t xml:space="preserve">185,000-370,000</t>
  </si>
  <si>
    <t xml:space="preserve">20-28 weeks</t>
  </si>
  <si>
    <t xml:space="preserve">Skip — double the cost, double the time</t>
  </si>
  <si>
    <t xml:space="preserve">DEVELOPMENT ROADMAP — DEMO TO LIVE</t>
  </si>
  <si>
    <t xml:space="preserve">12-week sprint plan for 2-person team (1 frontend, 1 backend)</t>
  </si>
  <si>
    <t xml:space="preserve">Week</t>
  </si>
  <si>
    <t xml:space="preserve">Phase</t>
  </si>
  <si>
    <t xml:space="preserve">Deliverables</t>
  </si>
  <si>
    <t xml:space="preserve">Frontend Dev</t>
  </si>
  <si>
    <t xml:space="preserve">Backend Dev</t>
  </si>
  <si>
    <t xml:space="preserve">Cost (AED)</t>
  </si>
  <si>
    <t xml:space="preserve">Blockers / Dependencies</t>
  </si>
  <si>
    <t xml:space="preserve">1-2</t>
  </si>
  <si>
    <t xml:space="preserve">Foundation</t>
  </si>
  <si>
    <t xml:space="preserve">Auth, DB schema, user profiles, basic API</t>
  </si>
  <si>
    <t xml:space="preserve">PWA setup, auth flows, profile UI</t>
  </si>
  <si>
    <t xml:space="preserve">Pocketbase setup, API endpoints, auth</t>
  </si>
  <si>
    <t xml:space="preserve">Business license needed first</t>
  </si>
  <si>
    <t xml:space="preserve">3-4</t>
  </si>
  <si>
    <t xml:space="preserve">Video Core</t>
  </si>
  <si>
    <t xml:space="preserve">WebRTC integration, 1-to-1 calls, lobby system</t>
  </si>
  <si>
    <t xml:space="preserve">Video UI, lobby queue, call controls</t>
  </si>
  <si>
    <t xml:space="preserve">Jitsi deploy, signaling server, session mgmt</t>
  </si>
  <si>
    <t xml:space="preserve">Hetzner server provisioned</t>
  </si>
  <si>
    <t xml:space="preserve">5-6</t>
  </si>
  <si>
    <t xml:space="preserve">Matching Engine</t>
  </si>
  <si>
    <t xml:space="preserve">Swipe/discover, matching algo, 5×5 session logic</t>
  </si>
  <si>
    <t xml:space="preserve">Discover screen, swipe UX, group session UI</t>
  </si>
  <si>
    <t xml:space="preserve">Matching algorithm, session orchestration</t>
  </si>
  <si>
    <t xml:space="preserve">Video must be stable first</t>
  </si>
  <si>
    <t xml:space="preserve">7-8</t>
  </si>
  <si>
    <t xml:space="preserve">Payments + Premium</t>
  </si>
  <si>
    <t xml:space="preserve">PayTabs integration, session tickets, Premium tier</t>
  </si>
  <si>
    <t xml:space="preserve">Payment flows, subscription UI, receipts</t>
  </si>
  <si>
    <t xml:space="preserve">PayTabs webhooks, access control, billing</t>
  </si>
  <si>
    <t xml:space="preserve">PayTabs account approved</t>
  </si>
  <si>
    <t xml:space="preserve">9-10</t>
  </si>
  <si>
    <t xml:space="preserve">Safety + Polish</t>
  </si>
  <si>
    <t xml:space="preserve">Content moderation, reporting, age verification</t>
  </si>
  <si>
    <t xml:space="preserve">Report UI, age gate, moderation dashboard</t>
  </si>
  <si>
    <t xml:space="preserve">NSFWJS pipeline, report queue, TRA compliance</t>
  </si>
  <si>
    <t xml:space="preserve">TRA guidelines confirmed</t>
  </si>
  <si>
    <t xml:space="preserve">11-12</t>
  </si>
  <si>
    <t xml:space="preserve">Launch Prep</t>
  </si>
  <si>
    <t xml:space="preserve">Testing, soft launch, influencer onboarding</t>
  </si>
  <si>
    <t xml:space="preserve">Performance audit, mobile polish, PWA install</t>
  </si>
  <si>
    <t xml:space="preserve">Load testing, monitoring, backup systems</t>
  </si>
  <si>
    <t xml:space="preserve">50 beta testers recruited</t>
  </si>
  <si>
    <t xml:space="preserve">TOTAL</t>
  </si>
  <si>
    <t xml:space="preserve">POST-LAUNCH (Month 4-6)</t>
  </si>
  <si>
    <t xml:space="preserve">Flutter Native App</t>
  </si>
  <si>
    <t xml:space="preserve">iOS + Android native apps (if PWA validates)</t>
  </si>
  <si>
    <t xml:space="preserve">AI Matching v2</t>
  </si>
  <si>
    <t xml:space="preserve">Behavioral data → predictive matching</t>
  </si>
  <si>
    <t xml:space="preserve">Content Engine</t>
  </si>
  <si>
    <t xml:space="preserve">Auto-generated sharecards, Instagram stories</t>
  </si>
  <si>
    <t xml:space="preserve">Analytics Dashboard</t>
  </si>
  <si>
    <t xml:space="preserve">Retention, LTV, session metrics, investor reporting</t>
  </si>
  <si>
    <t xml:space="preserve">UAE LEGAL &amp; COMPLIANCE CHECKLIST</t>
  </si>
  <si>
    <t xml:space="preserve">Everything needed to legally operate a dating platform in the UAE</t>
  </si>
  <si>
    <t xml:space="preserve">BUSINESS FORMATION</t>
  </si>
  <si>
    <t xml:space="preserve">Item</t>
  </si>
  <si>
    <t xml:space="preserve">Freezone Trade License</t>
  </si>
  <si>
    <t xml:space="preserve">2-4 weeks</t>
  </si>
  <si>
    <t xml:space="preserve">Meydan or DSO (cheapest). Activity: IT Services / Digital Platform</t>
  </si>
  <si>
    <t xml:space="preserve">Office / Flexi-desk (Year 1)</t>
  </si>
  <si>
    <t xml:space="preserve">Same day</t>
  </si>
  <si>
    <t xml:space="preserve">Required for license. Shared desk sufficient for pilot</t>
  </si>
  <si>
    <t xml:space="preserve">Founder Visa</t>
  </si>
  <si>
    <t xml:space="preserve">2-3 weeks</t>
  </si>
  <si>
    <t xml:space="preserve">Emirates ID + medical + insurance included</t>
  </si>
  <si>
    <t xml:space="preserve">Corporate Bank Account</t>
  </si>
  <si>
    <t xml:space="preserve">1-2 weeks</t>
  </si>
  <si>
    <t xml:space="preserve">ADCB or Mashreq. No minimum balance for startups</t>
  </si>
  <si>
    <t xml:space="preserve">Domain (pulse.ae)</t>
  </si>
  <si>
    <t xml:space="preserve">1-2 days</t>
  </si>
  <si>
    <t xml:space="preserve">Via .ae registrar. Reserve pulse.app too</t>
  </si>
  <si>
    <t xml:space="preserve">Subtotal</t>
  </si>
  <si>
    <t xml:space="preserve">REGULATORY COMPLIANCE</t>
  </si>
  <si>
    <t xml:space="preserve">Requirement</t>
  </si>
  <si>
    <t xml:space="preserve">Priority</t>
  </si>
  <si>
    <t xml:space="preserve">Details</t>
  </si>
  <si>
    <t xml:space="preserve">TRA Registration</t>
  </si>
  <si>
    <t xml:space="preserve">CRITICAL</t>
  </si>
  <si>
    <t xml:space="preserve">Telecom Regulatory Authority. Video calling apps must register. Verify WebRTC is permitted.</t>
  </si>
  <si>
    <t xml:space="preserve">Age Verification System</t>
  </si>
  <si>
    <t xml:space="preserve">Federal Decree No. 26/2025. Must verify users are 18+. Use Emirates ID or third-party age gate.</t>
  </si>
  <si>
    <t xml:space="preserve">UAE PDPL Compliance</t>
  </si>
  <si>
    <t xml:space="preserve">HIGH</t>
  </si>
  <si>
    <t xml:space="preserve">Data Protection Law (Decree 45/2021). Privacy policy, consent flows, breach reporting. Penalty: up to AED 5M.</t>
  </si>
  <si>
    <t xml:space="preserve">Content Moderation Policy</t>
  </si>
  <si>
    <t xml:space="preserve">Written policy for TRA. Covers: nudity detection, hate speech, harassment, reporting mechanisms.</t>
  </si>
  <si>
    <t xml:space="preserve">Terms of Service (Arabic + English)</t>
  </si>
  <si>
    <t xml:space="preserve">Bilingual ToS required. Must comply with UAE Consumer Protection Law.</t>
  </si>
  <si>
    <t xml:space="preserve">App Store Compliance (Apple)</t>
  </si>
  <si>
    <t xml:space="preserve">MEDIUM</t>
  </si>
  <si>
    <t xml:space="preserve">17+ age rating. Content moderation proof. Privacy labels. Review can take 1-3 weeks for dating apps.</t>
  </si>
  <si>
    <t xml:space="preserve">App Store Compliance (Google)</t>
  </si>
  <si>
    <t xml:space="preserve">Content rating questionnaire. Dating app policy compliance. Family policy exclusion.</t>
  </si>
  <si>
    <t xml:space="preserve">KEY RISKS</t>
  </si>
  <si>
    <t xml:space="preserve">VoIP RESTRICTION: UAE historically blocks VoIP (Skype, FaceTime). WebRTC in-browser may be treated differently. GET LEGAL OPINION BEFORE BUILDING.</t>
  </si>
  <si>
    <t xml:space="preserve">CULTURAL SENSITIVITY: Dating apps are legal in UAE but marketing must be tasteful. Avoid explicit language. Frame as 'social connection platform.'</t>
  </si>
  <si>
    <t xml:space="preserve">DATA RESIDENCY: UAE PDPL may require user data to be stored within UAE. Hetzner has no UAE datacenter. Consider AWS Bahrain (me-south-1).</t>
  </si>
  <si>
    <t xml:space="preserve">PAYMENT COMPLIANCE: UAE Central Bank requires payment aggregators to be licensed. Using PayTabs/Stripe (licensed) covers this.</t>
  </si>
  <si>
    <t xml:space="preserve">MONTHLY BURN RATE — FIRST 12 MONTHS</t>
  </si>
  <si>
    <t xml:space="preserve">Assumes launch at Month 3. Blue = adjustable inputs.</t>
  </si>
  <si>
    <t xml:space="preserve">Expense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</si>
  <si>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</si>
  <si>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</si>
  <si>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</si>
  <si>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</si>
  <si>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</si>
  <si>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</si>
  <si>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</si>
  <si>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</si>
  <si>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</si>
  <si>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</si>
  <si>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</si>
  <si>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</si>
  <si>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Development (2 devs)</t>
  </si>
  <si>
    <t xml:space="preserve">Hosting (Hetzner + CF)</t>
  </si>
  <si>
    <t xml:space="preserve">Video Infra (Jitsi)</t>
  </si>
  <si>
    <t xml:space="preserve">Payment Gateway Fees</t>
  </si>
  <si>
    <t xml:space="preserve">SMS/Email (AWS+Resend)</t>
  </si>
  <si>
    <t xml:space="preserve">Legal &amp; Compliance</t>
  </si>
  <si>
    <t xml:space="preserve">Marketing</t>
  </si>
  <si>
    <t xml:space="preserve">Misc / Contingency</t>
  </si>
  <si>
    <t xml:space="preserve">TOTAL MONTHLY BURN</t>
  </si>
  <si>
    <t xml:space="preserve">CUMULATIVE SPEND</t>
  </si>
  <si>
    <t xml:space="preserve">COMPLETE LAUNCH CHECKLIST</t>
  </si>
  <si>
    <t xml:space="preserve">Every single thing that needs to happen to go live</t>
  </si>
  <si>
    <t xml:space="preserve">Status</t>
  </si>
  <si>
    <t xml:space="preserve">Task</t>
  </si>
  <si>
    <t xml:space="preserve">LEGAL &amp; BUSINESS</t>
  </si>
  <si>
    <t xml:space="preserve">☐</t>
  </si>
  <si>
    <t xml:space="preserve">Register freezone company</t>
  </si>
  <si>
    <t xml:space="preserve">Meydan Free Zone or DSO. Activity: IT Services / Digital Platform</t>
  </si>
  <si>
    <t xml:space="preserve">W1</t>
  </si>
  <si>
    <t xml:space="preserve">Open corporate bank account</t>
  </si>
  <si>
    <t xml:space="preserve">ADCB or Mashreq. Need trade license first</t>
  </si>
  <si>
    <t xml:space="preserve">W2</t>
  </si>
  <si>
    <t xml:space="preserve">Apply for founder visa</t>
  </si>
  <si>
    <t xml:space="preserve">Emirates ID + medical + insurance</t>
  </si>
  <si>
    <t xml:space="preserve">Register with TRA</t>
  </si>
  <si>
    <t xml:space="preserve">Telecom Regulatory Authority — video calling compliance</t>
  </si>
  <si>
    <t xml:space="preserve">Get legal opinion on WebRTC</t>
  </si>
  <si>
    <t xml:space="preserve">Confirm browser-based video dating is compliant with UAE telecom law</t>
  </si>
  <si>
    <t xml:space="preserve">Draft Terms of Service</t>
  </si>
  <si>
    <t xml:space="preserve">Arabic + English. UAE Consumer Protection Law compliant</t>
  </si>
  <si>
    <t xml:space="preserve">W3</t>
  </si>
  <si>
    <t xml:space="preserve">Draft Privacy Policy</t>
  </si>
  <si>
    <t xml:space="preserve">UAE PDPL (Decree 45/2021) compliant</t>
  </si>
  <si>
    <t xml:space="preserve">Age verification integration</t>
  </si>
  <si>
    <t xml:space="preserve">Federal Decree No. 26/2025 compliance</t>
  </si>
  <si>
    <t xml:space="preserve">W9</t>
  </si>
  <si>
    <t xml:space="preserve">INFRASTRUCTURE</t>
  </si>
  <si>
    <t xml:space="preserve">Provision Hetzner VPS</t>
  </si>
  <si>
    <t xml:space="preserve">CX22 — €3.49/mo. Install Docker, Jitsi, Pocketbase</t>
  </si>
  <si>
    <t xml:space="preserve">Setup Cloudflare Pages</t>
  </si>
  <si>
    <t xml:space="preserve">Migrate frontend from Vercel (or keep both)</t>
  </si>
  <si>
    <t xml:space="preserve">Deploy Jitsi Meet</t>
  </si>
  <si>
    <t xml:space="preserve">Self-hosted on Hetzner. Test video quality from UAE</t>
  </si>
  <si>
    <t xml:space="preserve">Setup Pocketbase backend</t>
  </si>
  <si>
    <t xml:space="preserve">User schema, session schema, match schema</t>
  </si>
  <si>
    <t xml:space="preserve">Configure AWS SNS</t>
  </si>
  <si>
    <t xml:space="preserve">UAE phone number verification (OTP)</t>
  </si>
  <si>
    <t xml:space="preserve">Setup Resend email</t>
  </si>
  <si>
    <t xml:space="preserve">Transactional emails — welcome, match notifications</t>
  </si>
  <si>
    <t xml:space="preserve">Register pulse.ae domain</t>
  </si>
  <si>
    <t xml:space="preserve">Via UAE registrar. Point to Cloudflare</t>
  </si>
  <si>
    <t xml:space="preserve">PAYMENTS</t>
  </si>
  <si>
    <t xml:space="preserve">Apply for PayTabs merchant account</t>
  </si>
  <si>
    <t xml:space="preserve">KYC docs needed. 3-5 business days approval</t>
  </si>
  <si>
    <t xml:space="preserve">Integrate PayTabs SDK</t>
  </si>
  <si>
    <t xml:space="preserve">Session tickets (AED 75), Premium (AED 199/mo)</t>
  </si>
  <si>
    <t xml:space="preserve">W7</t>
  </si>
  <si>
    <t xml:space="preserve">Test AED payments end-to-end</t>
  </si>
  <si>
    <t xml:space="preserve">Sandbox → production. Apple Pay if available</t>
  </si>
  <si>
    <t xml:space="preserve">W8</t>
  </si>
  <si>
    <t xml:space="preserve">DEVELOPMENT</t>
  </si>
  <si>
    <t xml:space="preserve">Auth system (phone + social)</t>
  </si>
  <si>
    <t xml:space="preserve">Pocketbase auth + phone OTP via AWS SNS</t>
  </si>
  <si>
    <t xml:space="preserve">W1-2</t>
  </si>
  <si>
    <t xml:space="preserve">User profiles + photo upload</t>
  </si>
  <si>
    <t xml:space="preserve">Profile creation, photo storage (Cloudflare R2 — free 10GB)</t>
  </si>
  <si>
    <t xml:space="preserve">Discover / swipe system</t>
  </si>
  <si>
    <t xml:space="preserve">Profile browsing, like/pass, match detection</t>
  </si>
  <si>
    <t xml:space="preserve">W5-6</t>
  </si>
  <si>
    <t xml:space="preserve">1-to-1 video speed date</t>
  </si>
  <si>
    <t xml:space="preserve">WebRTC via Jitsi, 5-min timer, all controls</t>
  </si>
  <si>
    <t xml:space="preserve">W3-4</t>
  </si>
  <si>
    <t xml:space="preserve">Lobby + queue system</t>
  </si>
  <si>
    <t xml:space="preserve">Real-time presence, auto-session spin-up</t>
  </si>
  <si>
    <t xml:space="preserve">5×5 group session engine</t>
  </si>
  <si>
    <t xml:space="preserve">Session orchestration, rotation, survey, results</t>
  </si>
  <si>
    <t xml:space="preserve">Payment integration</t>
  </si>
  <si>
    <t xml:space="preserve">Session purchase, Premium subscription, microtransactions</t>
  </si>
  <si>
    <t xml:space="preserve">W7-8</t>
  </si>
  <si>
    <t xml:space="preserve">Content moderation pipeline</t>
  </si>
  <si>
    <t xml:space="preserve">NSFWJS for video, OpenAI for text, reporting system</t>
  </si>
  <si>
    <t xml:space="preserve">W9-10</t>
  </si>
  <si>
    <t xml:space="preserve">PWA optimization</t>
  </si>
  <si>
    <t xml:space="preserve">Manifest, service worker, mobile touch UX, install prompt</t>
  </si>
  <si>
    <t xml:space="preserve">W11</t>
  </si>
  <si>
    <t xml:space="preserve">Load testing</t>
  </si>
  <si>
    <t xml:space="preserve">Simulate 50 concurrent sessions on Hetzner</t>
  </si>
  <si>
    <t xml:space="preserve">APP STORES (POST-PWA)</t>
  </si>
  <si>
    <t xml:space="preserve">Apple Developer enrollment</t>
  </si>
  <si>
    <t xml:space="preserve">$99/year</t>
  </si>
  <si>
    <t xml:space="preserve">W12</t>
  </si>
  <si>
    <t xml:space="preserve">Google Play enrollment</t>
  </si>
  <si>
    <t xml:space="preserve">$25 one-time</t>
  </si>
  <si>
    <t xml:space="preserve">Prepare App Store screenshots</t>
  </si>
  <si>
    <t xml:space="preserve">6.7" and 5.5" iPhone, Pixel screenshots</t>
  </si>
  <si>
    <t xml:space="preserve">Submit for review (Apple)</t>
  </si>
  <si>
    <t xml:space="preserve">17+ rating. Expect 1-3 rejections for dating apps</t>
  </si>
  <si>
    <t xml:space="preserve">W12+</t>
  </si>
  <si>
    <t xml:space="preserve">Submit for review (Google)</t>
  </si>
  <si>
    <t xml:space="preserve">Content rating questionnaire. Usually faster than Apple</t>
  </si>
  <si>
    <t xml:space="preserve">LAUNCH</t>
  </si>
  <si>
    <t xml:space="preserve">Recruit 50 beta testers</t>
  </si>
  <si>
    <t xml:space="preserve">Dubai Marina / JBR demographic. Influencer network</t>
  </si>
  <si>
    <t xml:space="preserve">W10</t>
  </si>
  <si>
    <t xml:space="preserve">Soft launch (invite-only)</t>
  </si>
  <si>
    <t xml:space="preserve">50 users, 2 sessions/week, collect feedback</t>
  </si>
  <si>
    <t xml:space="preserve">Influencer seeding</t>
  </si>
  <si>
    <t xml:space="preserve">5-10 Dubai micro-influencers. Film session reactions</t>
  </si>
  <si>
    <t xml:space="preserve">Public launch</t>
  </si>
  <si>
    <t xml:space="preserve">Open waitlist, social media push, PR outreach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</si>
</sst>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040A0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2"/>
      <color rgb="FFE040A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sz val="10"/>
      <color rgb="FF4A4A6A"/>
      <name val="Arial"/>
      <family val="0"/>
      <charset val="1"/>
    </font>
    <font>
      <b val="true"/>
      <sz val="10"/>
      <color rgb="FFE040A0"/>
      <name val="Arial"/>
      <family val="0"/>
      <charset val="1"/>
    </font>
    <font>
      <b val="true"/>
      <sz val="14"/>
      <color rgb="FF2DD4B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4"/>
      <color rgb="FFFF9F0A"/>
      <name val="Arial"/>
      <family val="0"/>
      <charset val="1"/>
    </font>
    <font>
      <b val="true"/>
      <sz val="14"/>
      <color rgb="FFDC262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sz val="9"/>
      <color rgb="FF991B1B"/>
      <name val="Arial"/>
      <family val="0"/>
      <charset val="1"/>
    </font>
    <font>
      <b val="true"/>
      <sz val="14"/>
      <color rgb="FF6366F1"/>
      <name val="Arial"/>
      <family val="0"/>
      <charset val="1"/>
    </font>
    <font>
      <b val="true"/>
      <sz val="10"/>
      <color rgb="FF6366F1"/>
      <name val="Arial"/>
      <family val="0"/>
      <charset val="1"/>
    </font>
    <font>
      <b val="true"/>
      <sz val="14"/>
      <color rgb="FF30D158"/>
      <name val="Arial"/>
      <family val="0"/>
      <charset val="1"/>
    </font>
    <font>
      <b val="true"/>
      <sz val="10"/>
      <color rgb="FF4A4A6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A2A3E"/>
        <bgColor rgb="FF333300"/>
      </patternFill>
    </fill>
    <fill>
      <patternFill patternType="solid">
        <fgColor rgb="FFF7F8FC"/>
        <bgColor rgb="FFF3F4F6"/>
      </patternFill>
    </fill>
    <fill>
      <patternFill patternType="solid">
        <fgColor rgb="FFFDF2F8"/>
        <bgColor rgb="FFFEF2F2"/>
      </patternFill>
    </fill>
    <fill>
      <patternFill patternType="solid">
        <fgColor rgb="FFFEF2F2"/>
        <bgColor rgb="FFFDF2F8"/>
      </patternFill>
    </fill>
    <fill>
      <patternFill patternType="solid">
        <fgColor rgb="FFF0FDFA"/>
        <bgColor rgb="FFF7F8FC"/>
      </patternFill>
    </fill>
    <fill>
      <patternFill patternType="solid">
        <fgColor rgb="FFEEF2FF"/>
        <bgColor rgb="FFF3F4F6"/>
      </patternFill>
    </fill>
    <fill>
      <patternFill patternType="solid">
        <fgColor rgb="FFF3F4F6"/>
        <bgColor rgb="FFF7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040A0"/>
      <rgbColor rgb="FFFEF2F2"/>
      <rgbColor rgb="FFF0FDFA"/>
      <rgbColor rgb="FF660066"/>
      <rgbColor rgb="FFFF8080"/>
      <rgbColor rgb="FF0066CC"/>
      <rgbColor rgb="FFFDF2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5E7EB"/>
      <rgbColor rgb="FFF3F4F6"/>
      <rgbColor rgb="FF99CCFF"/>
      <rgbColor rgb="FFFF99CC"/>
      <rgbColor rgb="FFCC99FF"/>
      <rgbColor rgb="FFF7F8FC"/>
      <rgbColor rgb="FF6366F1"/>
      <rgbColor rgb="FF2DD4BF"/>
      <rgbColor rgb="FF99CC00"/>
      <rgbColor rgb="FFFFCC00"/>
      <rgbColor rgb="FFFF9F0A"/>
      <rgbColor rgb="FFFF6600"/>
      <rgbColor rgb="FF6B7280"/>
      <rgbColor rgb="FF969696"/>
      <rgbColor rgb="FF003366"/>
      <rgbColor rgb="FF30D158"/>
      <rgbColor rgb="FF003300"/>
      <rgbColor rgb="FF333300"/>
      <rgbColor rgb="FF991B1B"/>
      <rgbColor rgb="FF993366"/>
      <rgbColor rgb="FF4A4A6A"/>
      <rgbColor rgb="FF2A2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40A0"/>
    <pageSetUpPr fitToPage="false"/>
  </sheetPr>
  <dimension ref="A2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5" min="3" style="0" width="20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A7" s="4"/>
      <c r="B7" s="4" t="s">
        <v>3</v>
      </c>
      <c r="C7" s="4" t="s">
        <v>4</v>
      </c>
      <c r="D7" s="4" t="s">
        <v>5</v>
      </c>
      <c r="E7" s="4" t="s">
        <v>6</v>
      </c>
      <c r="F7" s="4"/>
    </row>
    <row r="8" customFormat="false" ht="15" hidden="false" customHeight="false" outlineLevel="0" collapsed="false">
      <c r="A8" s="5"/>
      <c r="B8" s="5" t="s">
        <v>7</v>
      </c>
      <c r="C8" s="6" t="n">
        <v>55000</v>
      </c>
      <c r="D8" s="6" t="n">
        <f aca="false">C8/12</f>
        <v>4583.33333333333</v>
      </c>
      <c r="E8" s="5" t="s">
        <v>8</v>
      </c>
      <c r="F8" s="5"/>
    </row>
    <row r="9" customFormat="false" ht="15" hidden="false" customHeight="false" outlineLevel="0" collapsed="false">
      <c r="A9" s="7"/>
      <c r="B9" s="7" t="s">
        <v>9</v>
      </c>
      <c r="C9" s="8" t="n">
        <v>2160</v>
      </c>
      <c r="D9" s="8" t="n">
        <v>180</v>
      </c>
      <c r="E9" s="7" t="s">
        <v>10</v>
      </c>
      <c r="F9" s="7"/>
    </row>
    <row r="10" customFormat="false" ht="15" hidden="false" customHeight="false" outlineLevel="0" collapsed="false">
      <c r="A10" s="5"/>
      <c r="B10" s="5" t="s">
        <v>11</v>
      </c>
      <c r="C10" s="6" t="n">
        <v>3600</v>
      </c>
      <c r="D10" s="6" t="n">
        <v>300</v>
      </c>
      <c r="E10" s="5" t="s">
        <v>12</v>
      </c>
      <c r="F10" s="5"/>
    </row>
    <row r="11" customFormat="false" ht="15" hidden="false" customHeight="false" outlineLevel="0" collapsed="false">
      <c r="A11" s="7"/>
      <c r="B11" s="7" t="s">
        <v>13</v>
      </c>
      <c r="C11" s="8" t="n">
        <v>500</v>
      </c>
      <c r="D11" s="8" t="n">
        <v>0</v>
      </c>
      <c r="E11" s="7" t="s">
        <v>14</v>
      </c>
      <c r="F11" s="7"/>
    </row>
    <row r="12" customFormat="false" ht="15" hidden="false" customHeight="false" outlineLevel="0" collapsed="false">
      <c r="A12" s="5"/>
      <c r="B12" s="5" t="s">
        <v>15</v>
      </c>
      <c r="C12" s="6" t="n">
        <v>455</v>
      </c>
      <c r="D12" s="6" t="n">
        <v>0</v>
      </c>
      <c r="E12" s="5" t="s">
        <v>16</v>
      </c>
      <c r="F12" s="5"/>
    </row>
    <row r="13" customFormat="false" ht="15" hidden="false" customHeight="false" outlineLevel="0" collapsed="false">
      <c r="A13" s="7"/>
      <c r="B13" s="7" t="s">
        <v>17</v>
      </c>
      <c r="C13" s="8" t="n">
        <v>2400</v>
      </c>
      <c r="D13" s="8" t="n">
        <v>200</v>
      </c>
      <c r="E13" s="7" t="s">
        <v>18</v>
      </c>
      <c r="F13" s="7"/>
    </row>
    <row r="14" customFormat="false" ht="15" hidden="false" customHeight="false" outlineLevel="0" collapsed="false">
      <c r="A14" s="5"/>
      <c r="B14" s="5" t="s">
        <v>19</v>
      </c>
      <c r="C14" s="6" t="n">
        <v>1200</v>
      </c>
      <c r="D14" s="6" t="n">
        <v>100</v>
      </c>
      <c r="E14" s="5" t="s">
        <v>20</v>
      </c>
      <c r="F14" s="5"/>
    </row>
    <row r="15" customFormat="false" ht="15" hidden="false" customHeight="false" outlineLevel="0" collapsed="false">
      <c r="A15" s="7"/>
      <c r="B15" s="7" t="s">
        <v>21</v>
      </c>
      <c r="C15" s="8" t="n">
        <v>19300</v>
      </c>
      <c r="D15" s="8" t="n">
        <v>0</v>
      </c>
      <c r="E15" s="7" t="s">
        <v>22</v>
      </c>
      <c r="F15" s="7"/>
    </row>
    <row r="16" customFormat="false" ht="15" hidden="false" customHeight="false" outlineLevel="0" collapsed="false">
      <c r="A16" s="5"/>
      <c r="B16" s="5" t="s">
        <v>23</v>
      </c>
      <c r="C16" s="6" t="n">
        <v>8000</v>
      </c>
      <c r="D16" s="6" t="n">
        <v>0</v>
      </c>
      <c r="E16" s="5" t="s">
        <v>24</v>
      </c>
      <c r="F16" s="5"/>
    </row>
    <row r="17" customFormat="false" ht="15" hidden="false" customHeight="false" outlineLevel="0" collapsed="false">
      <c r="A17" s="7"/>
      <c r="B17" s="7" t="s">
        <v>25</v>
      </c>
      <c r="C17" s="8" t="n">
        <v>15000</v>
      </c>
      <c r="D17" s="8" t="n">
        <v>1250</v>
      </c>
      <c r="E17" s="7" t="s">
        <v>26</v>
      </c>
      <c r="F17" s="7"/>
    </row>
    <row r="18" customFormat="false" ht="15" hidden="false" customHeight="false" outlineLevel="0" collapsed="false">
      <c r="A18" s="5"/>
      <c r="B18" s="5" t="s">
        <v>27</v>
      </c>
      <c r="C18" s="6" t="n">
        <v>10000</v>
      </c>
      <c r="D18" s="6" t="n">
        <v>0</v>
      </c>
      <c r="E18" s="5" t="s">
        <v>28</v>
      </c>
      <c r="F18" s="5"/>
    </row>
    <row r="19" customFormat="false" ht="15" hidden="false" customHeight="false" outlineLevel="0" collapsed="false">
      <c r="A19" s="9"/>
      <c r="B19" s="10" t="s">
        <v>29</v>
      </c>
      <c r="C19" s="11" t="n">
        <f aca="false">SUM(C8:C18)</f>
        <v>117615</v>
      </c>
      <c r="D19" s="11" t="n">
        <f aca="false">SUM(D8:D18)</f>
        <v>6613.33333333333</v>
      </c>
      <c r="E19" s="10"/>
      <c r="F19" s="9"/>
    </row>
    <row r="21" customFormat="false" ht="15" hidden="false" customHeight="false" outlineLevel="0" collapsed="false">
      <c r="B21" s="12" t="s">
        <v>30</v>
      </c>
    </row>
    <row r="22" customFormat="false" ht="15" hidden="false" customHeight="false" outlineLevel="0" collapsed="false">
      <c r="B22" s="13" t="s">
        <v>31</v>
      </c>
    </row>
    <row r="23" customFormat="false" ht="15" hidden="false" customHeight="false" outlineLevel="0" collapsed="false">
      <c r="B23" s="13" t="s">
        <v>32</v>
      </c>
    </row>
    <row r="24" customFormat="false" ht="15" hidden="false" customHeight="false" outlineLevel="0" collapsed="false">
      <c r="B24" s="1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BF"/>
    <pageSetUpPr fitToPage="false"/>
  </sheetPr>
  <dimension ref="A2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2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45"/>
  </cols>
  <sheetData>
    <row r="2" customFormat="false" ht="17.35" hidden="false" customHeight="false" outlineLevel="0" collapsed="false">
      <c r="B2" s="15" t="s">
        <v>34</v>
      </c>
    </row>
    <row r="3" customFormat="false" ht="15" hidden="false" customHeight="false" outlineLevel="0" collapsed="false">
      <c r="B3" s="16" t="s">
        <v>35</v>
      </c>
    </row>
    <row r="5" customFormat="false" ht="15" hidden="false" customHeight="false" outlineLevel="0" collapsed="false">
      <c r="B5" s="3" t="s">
        <v>36</v>
      </c>
    </row>
    <row r="6" customFormat="false" ht="26.85" hidden="false" customHeight="false" outlineLevel="0" collapsed="false">
      <c r="A6" s="4"/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/>
    </row>
    <row r="7" customFormat="false" ht="35.05" hidden="false" customHeight="false" outlineLevel="0" collapsed="false">
      <c r="A7" s="5"/>
      <c r="B7" s="17" t="s">
        <v>42</v>
      </c>
      <c r="C7" s="17" t="s">
        <v>43</v>
      </c>
      <c r="D7" s="17" t="n">
        <v>14</v>
      </c>
      <c r="E7" s="17" t="s">
        <v>44</v>
      </c>
      <c r="F7" s="17" t="s">
        <v>45</v>
      </c>
      <c r="G7" s="5"/>
    </row>
    <row r="8" customFormat="false" ht="35.05" hidden="false" customHeight="false" outlineLevel="0" collapsed="false">
      <c r="A8" s="7"/>
      <c r="B8" s="18" t="s">
        <v>46</v>
      </c>
      <c r="C8" s="18" t="s">
        <v>47</v>
      </c>
      <c r="D8" s="18" t="n">
        <v>120</v>
      </c>
      <c r="E8" s="18" t="s">
        <v>48</v>
      </c>
      <c r="F8" s="18" t="s">
        <v>49</v>
      </c>
      <c r="G8" s="7"/>
    </row>
    <row r="9" customFormat="false" ht="35.05" hidden="false" customHeight="false" outlineLevel="0" collapsed="false">
      <c r="A9" s="5"/>
      <c r="B9" s="19" t="s">
        <v>50</v>
      </c>
      <c r="C9" s="19" t="s">
        <v>51</v>
      </c>
      <c r="D9" s="19" t="n">
        <v>300</v>
      </c>
      <c r="E9" s="19" t="s">
        <v>52</v>
      </c>
      <c r="F9" s="19" t="s">
        <v>53</v>
      </c>
      <c r="G9" s="5"/>
    </row>
    <row r="10" customFormat="false" ht="15" hidden="false" customHeight="false" outlineLevel="0" collapsed="false">
      <c r="A10" s="7"/>
      <c r="B10" s="18" t="s">
        <v>54</v>
      </c>
      <c r="C10" s="18" t="s">
        <v>51</v>
      </c>
      <c r="D10" s="18" t="n">
        <v>300</v>
      </c>
      <c r="E10" s="18" t="s">
        <v>48</v>
      </c>
      <c r="F10" s="18" t="s">
        <v>55</v>
      </c>
      <c r="G10" s="7"/>
    </row>
    <row r="11" customFormat="false" ht="23.85" hidden="false" customHeight="false" outlineLevel="0" collapsed="false">
      <c r="A11" s="5"/>
      <c r="B11" s="19" t="s">
        <v>56</v>
      </c>
      <c r="C11" s="19" t="s">
        <v>57</v>
      </c>
      <c r="D11" s="19" t="n">
        <v>250</v>
      </c>
      <c r="E11" s="19" t="s">
        <v>52</v>
      </c>
      <c r="F11" s="19" t="s">
        <v>58</v>
      </c>
      <c r="G11" s="5"/>
    </row>
    <row r="13" customFormat="false" ht="15" hidden="false" customHeight="false" outlineLevel="0" collapsed="false">
      <c r="B13" s="3" t="s">
        <v>59</v>
      </c>
    </row>
    <row r="14" customFormat="false" ht="26.85" hidden="false" customHeight="false" outlineLevel="0" collapsed="false">
      <c r="A14" s="4"/>
      <c r="B14" s="4" t="s">
        <v>37</v>
      </c>
      <c r="C14" s="4" t="s">
        <v>60</v>
      </c>
      <c r="D14" s="4" t="s">
        <v>61</v>
      </c>
      <c r="E14" s="4" t="s">
        <v>62</v>
      </c>
      <c r="F14" s="4" t="s">
        <v>41</v>
      </c>
      <c r="G14" s="4"/>
    </row>
    <row r="15" customFormat="false" ht="35.05" hidden="false" customHeight="false" outlineLevel="0" collapsed="false">
      <c r="A15" s="5"/>
      <c r="B15" s="17" t="s">
        <v>63</v>
      </c>
      <c r="C15" s="17" t="s">
        <v>64</v>
      </c>
      <c r="D15" s="17" t="s">
        <v>43</v>
      </c>
      <c r="E15" s="17" t="s">
        <v>43</v>
      </c>
      <c r="F15" s="17" t="s">
        <v>65</v>
      </c>
      <c r="G15" s="5"/>
    </row>
    <row r="16" customFormat="false" ht="35.05" hidden="false" customHeight="false" outlineLevel="0" collapsed="false">
      <c r="A16" s="7"/>
      <c r="B16" s="18" t="s">
        <v>66</v>
      </c>
      <c r="C16" s="18" t="s">
        <v>67</v>
      </c>
      <c r="D16" s="18" t="s">
        <v>43</v>
      </c>
      <c r="E16" s="18" t="s">
        <v>43</v>
      </c>
      <c r="F16" s="18" t="s">
        <v>68</v>
      </c>
      <c r="G16" s="7"/>
    </row>
    <row r="17" customFormat="false" ht="35.05" hidden="false" customHeight="false" outlineLevel="0" collapsed="false">
      <c r="A17" s="5"/>
      <c r="B17" s="19" t="s">
        <v>69</v>
      </c>
      <c r="C17" s="19" t="s">
        <v>70</v>
      </c>
      <c r="D17" s="19" t="s">
        <v>71</v>
      </c>
      <c r="E17" s="19" t="s">
        <v>43</v>
      </c>
      <c r="F17" s="19" t="s">
        <v>72</v>
      </c>
      <c r="G17" s="5"/>
    </row>
    <row r="18" customFormat="false" ht="35.05" hidden="false" customHeight="false" outlineLevel="0" collapsed="false">
      <c r="A18" s="7"/>
      <c r="B18" s="18" t="s">
        <v>73</v>
      </c>
      <c r="C18" s="18" t="s">
        <v>74</v>
      </c>
      <c r="D18" s="18" t="s">
        <v>75</v>
      </c>
      <c r="E18" s="18" t="s">
        <v>76</v>
      </c>
      <c r="F18" s="18" t="s">
        <v>77</v>
      </c>
      <c r="G18" s="7"/>
    </row>
    <row r="19" customFormat="false" ht="35.05" hidden="false" customHeight="false" outlineLevel="0" collapsed="false">
      <c r="A19" s="5"/>
      <c r="B19" s="19" t="s">
        <v>78</v>
      </c>
      <c r="C19" s="19" t="s">
        <v>79</v>
      </c>
      <c r="D19" s="19" t="s">
        <v>43</v>
      </c>
      <c r="E19" s="19" t="s">
        <v>43</v>
      </c>
      <c r="F19" s="19" t="s">
        <v>80</v>
      </c>
      <c r="G19" s="5"/>
    </row>
    <row r="21" customFormat="false" ht="15" hidden="false" customHeight="false" outlineLevel="0" collapsed="false">
      <c r="B21" s="3" t="s">
        <v>81</v>
      </c>
    </row>
    <row r="22" customFormat="false" ht="26.85" hidden="false" customHeight="false" outlineLevel="0" collapsed="false">
      <c r="A22" s="4"/>
      <c r="B22" s="4" t="s">
        <v>37</v>
      </c>
      <c r="C22" s="4" t="s">
        <v>82</v>
      </c>
      <c r="D22" s="4" t="s">
        <v>40</v>
      </c>
      <c r="E22" s="4" t="s">
        <v>83</v>
      </c>
      <c r="F22" s="4" t="s">
        <v>41</v>
      </c>
      <c r="G22" s="4"/>
    </row>
    <row r="23" customFormat="false" ht="23.85" hidden="false" customHeight="false" outlineLevel="0" collapsed="false">
      <c r="A23" s="5"/>
      <c r="B23" s="17" t="s">
        <v>84</v>
      </c>
      <c r="C23" s="17" t="s">
        <v>85</v>
      </c>
      <c r="D23" s="17" t="s">
        <v>44</v>
      </c>
      <c r="E23" s="17" t="s">
        <v>86</v>
      </c>
      <c r="F23" s="17" t="s">
        <v>87</v>
      </c>
      <c r="G23" s="5"/>
    </row>
    <row r="24" customFormat="false" ht="35.05" hidden="false" customHeight="false" outlineLevel="0" collapsed="false">
      <c r="A24" s="7"/>
      <c r="B24" s="18" t="s">
        <v>88</v>
      </c>
      <c r="C24" s="18" t="s">
        <v>89</v>
      </c>
      <c r="D24" s="18" t="s">
        <v>90</v>
      </c>
      <c r="E24" s="18" t="s">
        <v>91</v>
      </c>
      <c r="F24" s="18" t="s">
        <v>92</v>
      </c>
      <c r="G24" s="7"/>
    </row>
    <row r="25" customFormat="false" ht="23.85" hidden="false" customHeight="false" outlineLevel="0" collapsed="false">
      <c r="A25" s="5"/>
      <c r="B25" s="19" t="s">
        <v>93</v>
      </c>
      <c r="C25" s="19" t="s">
        <v>94</v>
      </c>
      <c r="D25" s="19" t="s">
        <v>95</v>
      </c>
      <c r="E25" s="19" t="s">
        <v>96</v>
      </c>
      <c r="F25" s="19" t="s">
        <v>97</v>
      </c>
      <c r="G25" s="5"/>
    </row>
    <row r="26" customFormat="false" ht="35.05" hidden="false" customHeight="false" outlineLevel="0" collapsed="false">
      <c r="A26" s="7"/>
      <c r="B26" s="18" t="s">
        <v>98</v>
      </c>
      <c r="C26" s="18" t="s">
        <v>99</v>
      </c>
      <c r="D26" s="18" t="s">
        <v>100</v>
      </c>
      <c r="E26" s="18" t="s">
        <v>101</v>
      </c>
      <c r="F26" s="18" t="s">
        <v>102</v>
      </c>
      <c r="G26" s="7"/>
    </row>
    <row r="27" customFormat="false" ht="35.05" hidden="false" customHeight="false" outlineLevel="0" collapsed="false">
      <c r="A27" s="5"/>
      <c r="B27" s="19" t="s">
        <v>103</v>
      </c>
      <c r="C27" s="19" t="s">
        <v>85</v>
      </c>
      <c r="D27" s="19" t="s">
        <v>44</v>
      </c>
      <c r="E27" s="19" t="s">
        <v>104</v>
      </c>
      <c r="F27" s="19" t="s">
        <v>105</v>
      </c>
      <c r="G27" s="5"/>
    </row>
    <row r="29" customFormat="false" ht="15" hidden="false" customHeight="false" outlineLevel="0" collapsed="false">
      <c r="B29" s="3" t="s">
        <v>106</v>
      </c>
    </row>
    <row r="30" customFormat="false" ht="26.85" hidden="false" customHeight="false" outlineLevel="0" collapsed="false">
      <c r="A30" s="4"/>
      <c r="B30" s="4" t="s">
        <v>37</v>
      </c>
      <c r="C30" s="4" t="s">
        <v>82</v>
      </c>
      <c r="D30" s="4" t="s">
        <v>40</v>
      </c>
      <c r="E30" s="4" t="s">
        <v>107</v>
      </c>
      <c r="F30" s="4" t="s">
        <v>41</v>
      </c>
      <c r="G30" s="4"/>
    </row>
    <row r="31" customFormat="false" ht="35.05" hidden="false" customHeight="false" outlineLevel="0" collapsed="false">
      <c r="A31" s="5"/>
      <c r="B31" s="17" t="s">
        <v>108</v>
      </c>
      <c r="C31" s="17" t="s">
        <v>43</v>
      </c>
      <c r="D31" s="17" t="s">
        <v>44</v>
      </c>
      <c r="E31" s="17" t="s">
        <v>44</v>
      </c>
      <c r="F31" s="17" t="s">
        <v>109</v>
      </c>
      <c r="G31" s="5"/>
    </row>
    <row r="32" customFormat="false" ht="35.05" hidden="false" customHeight="false" outlineLevel="0" collapsed="false">
      <c r="A32" s="7"/>
      <c r="B32" s="18" t="s">
        <v>110</v>
      </c>
      <c r="C32" s="18" t="s">
        <v>111</v>
      </c>
      <c r="D32" s="18" t="s">
        <v>112</v>
      </c>
      <c r="E32" s="18" t="s">
        <v>113</v>
      </c>
      <c r="F32" s="18" t="s">
        <v>114</v>
      </c>
      <c r="G32" s="7"/>
    </row>
    <row r="33" customFormat="false" ht="35.05" hidden="false" customHeight="false" outlineLevel="0" collapsed="false">
      <c r="A33" s="5"/>
      <c r="B33" s="19" t="s">
        <v>115</v>
      </c>
      <c r="C33" s="19" t="s">
        <v>94</v>
      </c>
      <c r="D33" s="19" t="s">
        <v>116</v>
      </c>
      <c r="E33" s="19" t="s">
        <v>117</v>
      </c>
      <c r="F33" s="19" t="s">
        <v>118</v>
      </c>
      <c r="G33" s="5"/>
    </row>
    <row r="34" customFormat="false" ht="23.85" hidden="false" customHeight="false" outlineLevel="0" collapsed="false">
      <c r="A34" s="7"/>
      <c r="B34" s="18" t="s">
        <v>119</v>
      </c>
      <c r="C34" s="18" t="s">
        <v>120</v>
      </c>
      <c r="D34" s="18" t="s">
        <v>121</v>
      </c>
      <c r="E34" s="18" t="s">
        <v>122</v>
      </c>
      <c r="F34" s="18" t="s">
        <v>123</v>
      </c>
      <c r="G34" s="7"/>
    </row>
    <row r="35" customFormat="false" ht="23.85" hidden="false" customHeight="false" outlineLevel="0" collapsed="false">
      <c r="A35" s="5"/>
      <c r="B35" s="19" t="s">
        <v>124</v>
      </c>
      <c r="C35" s="19" t="s">
        <v>125</v>
      </c>
      <c r="D35" s="19" t="s">
        <v>126</v>
      </c>
      <c r="E35" s="19" t="s">
        <v>117</v>
      </c>
      <c r="F35" s="19" t="s">
        <v>127</v>
      </c>
      <c r="G35" s="5"/>
    </row>
    <row r="37" customFormat="false" ht="15" hidden="false" customHeight="false" outlineLevel="0" collapsed="false">
      <c r="B37" s="3" t="s">
        <v>128</v>
      </c>
    </row>
    <row r="38" customFormat="false" ht="26.85" hidden="false" customHeight="false" outlineLevel="0" collapsed="false">
      <c r="A38" s="4"/>
      <c r="B38" s="4" t="s">
        <v>37</v>
      </c>
      <c r="C38" s="4" t="s">
        <v>82</v>
      </c>
      <c r="D38" s="4" t="s">
        <v>129</v>
      </c>
      <c r="E38" s="4" t="s">
        <v>130</v>
      </c>
      <c r="F38" s="4" t="s">
        <v>41</v>
      </c>
      <c r="G38" s="4"/>
    </row>
    <row r="39" customFormat="false" ht="35.05" hidden="false" customHeight="false" outlineLevel="0" collapsed="false">
      <c r="A39" s="5"/>
      <c r="B39" s="17" t="s">
        <v>131</v>
      </c>
      <c r="C39" s="17" t="s">
        <v>43</v>
      </c>
      <c r="D39" s="17" t="s">
        <v>132</v>
      </c>
      <c r="E39" s="17" t="s">
        <v>133</v>
      </c>
      <c r="F39" s="17" t="s">
        <v>134</v>
      </c>
      <c r="G39" s="5"/>
    </row>
    <row r="40" customFormat="false" ht="23.85" hidden="false" customHeight="false" outlineLevel="0" collapsed="false">
      <c r="A40" s="7"/>
      <c r="B40" s="18" t="s">
        <v>135</v>
      </c>
      <c r="C40" s="18" t="s">
        <v>43</v>
      </c>
      <c r="D40" s="18" t="s">
        <v>136</v>
      </c>
      <c r="E40" s="18" t="s">
        <v>137</v>
      </c>
      <c r="F40" s="18" t="s">
        <v>138</v>
      </c>
      <c r="G40" s="7"/>
    </row>
    <row r="41" customFormat="false" ht="23.85" hidden="false" customHeight="false" outlineLevel="0" collapsed="false">
      <c r="A41" s="5"/>
      <c r="B41" s="19" t="s">
        <v>139</v>
      </c>
      <c r="C41" s="19" t="s">
        <v>140</v>
      </c>
      <c r="D41" s="19" t="s">
        <v>141</v>
      </c>
      <c r="E41" s="19" t="s">
        <v>137</v>
      </c>
      <c r="F41" s="19" t="s">
        <v>142</v>
      </c>
      <c r="G41" s="5"/>
    </row>
    <row r="42" customFormat="false" ht="35.05" hidden="false" customHeight="false" outlineLevel="0" collapsed="false">
      <c r="A42" s="7"/>
      <c r="B42" s="18" t="s">
        <v>143</v>
      </c>
      <c r="C42" s="18" t="s">
        <v>144</v>
      </c>
      <c r="D42" s="18" t="s">
        <v>141</v>
      </c>
      <c r="E42" s="18" t="s">
        <v>145</v>
      </c>
      <c r="F42" s="18" t="s">
        <v>146</v>
      </c>
      <c r="G42" s="7"/>
    </row>
    <row r="43" customFormat="false" ht="23.85" hidden="false" customHeight="false" outlineLevel="0" collapsed="false">
      <c r="A43" s="5"/>
      <c r="B43" s="19" t="s">
        <v>147</v>
      </c>
      <c r="C43" s="19" t="s">
        <v>148</v>
      </c>
      <c r="D43" s="19" t="s">
        <v>149</v>
      </c>
      <c r="E43" s="19" t="s">
        <v>145</v>
      </c>
      <c r="F43" s="19" t="s">
        <v>150</v>
      </c>
      <c r="G43" s="5"/>
    </row>
    <row r="45" customFormat="false" ht="15" hidden="false" customHeight="false" outlineLevel="0" collapsed="false">
      <c r="B45" s="3" t="s">
        <v>151</v>
      </c>
    </row>
    <row r="46" customFormat="false" ht="26.85" hidden="false" customHeight="false" outlineLevel="0" collapsed="false">
      <c r="A46" s="4"/>
      <c r="B46" s="4" t="s">
        <v>37</v>
      </c>
      <c r="C46" s="4" t="s">
        <v>152</v>
      </c>
      <c r="D46" s="4" t="s">
        <v>40</v>
      </c>
      <c r="E46" s="4" t="s">
        <v>153</v>
      </c>
      <c r="F46" s="4" t="s">
        <v>41</v>
      </c>
      <c r="G46" s="4"/>
    </row>
    <row r="47" customFormat="false" ht="35.05" hidden="false" customHeight="false" outlineLevel="0" collapsed="false">
      <c r="A47" s="5"/>
      <c r="B47" s="19" t="s">
        <v>154</v>
      </c>
      <c r="C47" s="19" t="s">
        <v>155</v>
      </c>
      <c r="D47" s="19" t="s">
        <v>156</v>
      </c>
      <c r="E47" s="19" t="s">
        <v>48</v>
      </c>
      <c r="F47" s="19" t="s">
        <v>157</v>
      </c>
      <c r="G47" s="5"/>
    </row>
    <row r="48" customFormat="false" ht="35.05" hidden="false" customHeight="false" outlineLevel="0" collapsed="false">
      <c r="A48" s="7"/>
      <c r="B48" s="18" t="s">
        <v>158</v>
      </c>
      <c r="C48" s="18" t="s">
        <v>159</v>
      </c>
      <c r="D48" s="18" t="s">
        <v>156</v>
      </c>
      <c r="E48" s="18" t="s">
        <v>48</v>
      </c>
      <c r="F48" s="18" t="s">
        <v>160</v>
      </c>
      <c r="G48" s="7"/>
    </row>
    <row r="49" customFormat="false" ht="23.85" hidden="false" customHeight="false" outlineLevel="0" collapsed="false">
      <c r="A49" s="5"/>
      <c r="B49" s="19" t="s">
        <v>161</v>
      </c>
      <c r="C49" s="19" t="s">
        <v>162</v>
      </c>
      <c r="D49" s="19" t="s">
        <v>163</v>
      </c>
      <c r="E49" s="19" t="s">
        <v>48</v>
      </c>
      <c r="F49" s="19" t="s">
        <v>164</v>
      </c>
      <c r="G49" s="5"/>
    </row>
    <row r="50" customFormat="false" ht="35.05" hidden="false" customHeight="false" outlineLevel="0" collapsed="false">
      <c r="A50" s="7"/>
      <c r="B50" s="18" t="s">
        <v>165</v>
      </c>
      <c r="C50" s="18" t="s">
        <v>166</v>
      </c>
      <c r="D50" s="18" t="s">
        <v>156</v>
      </c>
      <c r="E50" s="18" t="s">
        <v>48</v>
      </c>
      <c r="F50" s="18" t="s">
        <v>167</v>
      </c>
      <c r="G50" s="7"/>
    </row>
    <row r="52" customFormat="false" ht="15" hidden="false" customHeight="false" outlineLevel="0" collapsed="false">
      <c r="B52" s="3" t="s">
        <v>168</v>
      </c>
    </row>
    <row r="53" customFormat="false" ht="26.85" hidden="false" customHeight="false" outlineLevel="0" collapsed="false">
      <c r="A53" s="4"/>
      <c r="B53" s="4" t="s">
        <v>169</v>
      </c>
      <c r="C53" s="4" t="s">
        <v>170</v>
      </c>
      <c r="D53" s="4" t="s">
        <v>171</v>
      </c>
      <c r="E53" s="4" t="s">
        <v>172</v>
      </c>
      <c r="F53" s="4" t="s">
        <v>41</v>
      </c>
      <c r="G53" s="4"/>
    </row>
    <row r="54" customFormat="false" ht="35.05" hidden="false" customHeight="false" outlineLevel="0" collapsed="false">
      <c r="A54" s="5"/>
      <c r="B54" s="17" t="s">
        <v>173</v>
      </c>
      <c r="C54" s="17" t="s">
        <v>174</v>
      </c>
      <c r="D54" s="17" t="s">
        <v>175</v>
      </c>
      <c r="E54" s="17" t="s">
        <v>176</v>
      </c>
      <c r="F54" s="17" t="s">
        <v>177</v>
      </c>
      <c r="G54" s="5"/>
    </row>
    <row r="55" customFormat="false" ht="23.85" hidden="false" customHeight="false" outlineLevel="0" collapsed="false">
      <c r="A55" s="7"/>
      <c r="B55" s="18" t="s">
        <v>178</v>
      </c>
      <c r="C55" s="18" t="s">
        <v>179</v>
      </c>
      <c r="D55" s="18" t="s">
        <v>180</v>
      </c>
      <c r="E55" s="18" t="s">
        <v>181</v>
      </c>
      <c r="F55" s="18" t="s">
        <v>182</v>
      </c>
      <c r="G55" s="7"/>
    </row>
    <row r="56" customFormat="false" ht="35.05" hidden="false" customHeight="false" outlineLevel="0" collapsed="false">
      <c r="A56" s="5"/>
      <c r="B56" s="19" t="s">
        <v>183</v>
      </c>
      <c r="C56" s="19" t="s">
        <v>184</v>
      </c>
      <c r="D56" s="19" t="s">
        <v>185</v>
      </c>
      <c r="E56" s="19" t="s">
        <v>181</v>
      </c>
      <c r="F56" s="19" t="s">
        <v>186</v>
      </c>
      <c r="G56" s="5"/>
    </row>
    <row r="57" customFormat="false" ht="35.05" hidden="false" customHeight="false" outlineLevel="0" collapsed="false">
      <c r="A57" s="7"/>
      <c r="B57" s="18" t="s">
        <v>187</v>
      </c>
      <c r="C57" s="18" t="s">
        <v>188</v>
      </c>
      <c r="D57" s="18" t="s">
        <v>189</v>
      </c>
      <c r="E57" s="18" t="s">
        <v>181</v>
      </c>
      <c r="F57" s="18" t="s">
        <v>190</v>
      </c>
      <c r="G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F0A"/>
    <pageSetUpPr fitToPage="false"/>
  </sheetPr>
  <dimension ref="A2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7" min="5" style="0" width="15"/>
    <col collapsed="false" customWidth="true" hidden="false" outlineLevel="0" max="8" min="8" style="0" width="30"/>
  </cols>
  <sheetData>
    <row r="2" customFormat="false" ht="17.35" hidden="false" customHeight="false" outlineLevel="0" collapsed="false">
      <c r="B2" s="20" t="s">
        <v>191</v>
      </c>
    </row>
    <row r="3" customFormat="false" ht="15" hidden="false" customHeight="false" outlineLevel="0" collapsed="false">
      <c r="B3" s="16" t="s">
        <v>192</v>
      </c>
    </row>
    <row r="5" customFormat="false" ht="15" hidden="false" customHeight="false" outlineLevel="0" collapsed="false">
      <c r="A5" s="4"/>
      <c r="B5" s="4" t="s">
        <v>193</v>
      </c>
      <c r="C5" s="4" t="s">
        <v>194</v>
      </c>
      <c r="D5" s="4" t="s">
        <v>195</v>
      </c>
      <c r="E5" s="4" t="s">
        <v>196</v>
      </c>
      <c r="F5" s="4" t="s">
        <v>197</v>
      </c>
      <c r="G5" s="4" t="s">
        <v>198</v>
      </c>
      <c r="H5" s="4" t="s">
        <v>199</v>
      </c>
    </row>
    <row r="6" customFormat="false" ht="35.05" hidden="false" customHeight="false" outlineLevel="0" collapsed="false">
      <c r="A6" s="5"/>
      <c r="B6" s="19" t="s">
        <v>200</v>
      </c>
      <c r="C6" s="19" t="s">
        <v>201</v>
      </c>
      <c r="D6" s="19" t="s">
        <v>202</v>
      </c>
      <c r="E6" s="19" t="s">
        <v>203</v>
      </c>
      <c r="F6" s="19" t="s">
        <v>204</v>
      </c>
      <c r="G6" s="21" t="n">
        <v>9200</v>
      </c>
      <c r="H6" s="19" t="s">
        <v>205</v>
      </c>
    </row>
    <row r="7" customFormat="false" ht="35.05" hidden="false" customHeight="false" outlineLevel="0" collapsed="false">
      <c r="A7" s="7"/>
      <c r="B7" s="18" t="s">
        <v>206</v>
      </c>
      <c r="C7" s="18" t="s">
        <v>207</v>
      </c>
      <c r="D7" s="18" t="s">
        <v>208</v>
      </c>
      <c r="E7" s="18" t="s">
        <v>209</v>
      </c>
      <c r="F7" s="18" t="s">
        <v>210</v>
      </c>
      <c r="G7" s="22" t="n">
        <v>9200</v>
      </c>
      <c r="H7" s="18" t="s">
        <v>211</v>
      </c>
    </row>
    <row r="8" customFormat="false" ht="46.25" hidden="false" customHeight="false" outlineLevel="0" collapsed="false">
      <c r="A8" s="5"/>
      <c r="B8" s="19" t="s">
        <v>212</v>
      </c>
      <c r="C8" s="19" t="s">
        <v>213</v>
      </c>
      <c r="D8" s="19" t="s">
        <v>214</v>
      </c>
      <c r="E8" s="19" t="s">
        <v>215</v>
      </c>
      <c r="F8" s="19" t="s">
        <v>216</v>
      </c>
      <c r="G8" s="21" t="n">
        <v>9200</v>
      </c>
      <c r="H8" s="19" t="s">
        <v>217</v>
      </c>
    </row>
    <row r="9" customFormat="false" ht="46.25" hidden="false" customHeight="false" outlineLevel="0" collapsed="false">
      <c r="A9" s="7"/>
      <c r="B9" s="18" t="s">
        <v>218</v>
      </c>
      <c r="C9" s="18" t="s">
        <v>219</v>
      </c>
      <c r="D9" s="18" t="s">
        <v>220</v>
      </c>
      <c r="E9" s="18" t="s">
        <v>221</v>
      </c>
      <c r="F9" s="18" t="s">
        <v>222</v>
      </c>
      <c r="G9" s="22" t="n">
        <v>9200</v>
      </c>
      <c r="H9" s="18" t="s">
        <v>223</v>
      </c>
    </row>
    <row r="10" customFormat="false" ht="46.25" hidden="false" customHeight="false" outlineLevel="0" collapsed="false">
      <c r="A10" s="5"/>
      <c r="B10" s="19" t="s">
        <v>224</v>
      </c>
      <c r="C10" s="19" t="s">
        <v>225</v>
      </c>
      <c r="D10" s="19" t="s">
        <v>226</v>
      </c>
      <c r="E10" s="19" t="s">
        <v>227</v>
      </c>
      <c r="F10" s="19" t="s">
        <v>228</v>
      </c>
      <c r="G10" s="21" t="n">
        <v>9200</v>
      </c>
      <c r="H10" s="19" t="s">
        <v>229</v>
      </c>
    </row>
    <row r="11" customFormat="false" ht="46.25" hidden="false" customHeight="false" outlineLevel="0" collapsed="false">
      <c r="A11" s="7"/>
      <c r="B11" s="18" t="s">
        <v>230</v>
      </c>
      <c r="C11" s="18" t="s">
        <v>231</v>
      </c>
      <c r="D11" s="18" t="s">
        <v>232</v>
      </c>
      <c r="E11" s="18" t="s">
        <v>233</v>
      </c>
      <c r="F11" s="18" t="s">
        <v>234</v>
      </c>
      <c r="G11" s="22" t="n">
        <v>9200</v>
      </c>
      <c r="H11" s="18" t="s">
        <v>235</v>
      </c>
    </row>
    <row r="12" customFormat="false" ht="15" hidden="false" customHeight="false" outlineLevel="0" collapsed="false">
      <c r="A12" s="9"/>
      <c r="B12" s="9" t="s">
        <v>236</v>
      </c>
      <c r="C12" s="9"/>
      <c r="D12" s="9"/>
      <c r="E12" s="9"/>
      <c r="F12" s="9"/>
      <c r="G12" s="23" t="n">
        <f aca="false">SUM(G6:G11)</f>
        <v>55200</v>
      </c>
      <c r="H12" s="9"/>
    </row>
    <row r="14" customFormat="false" ht="15" hidden="false" customHeight="false" outlineLevel="0" collapsed="false">
      <c r="B14" s="3" t="s">
        <v>237</v>
      </c>
    </row>
    <row r="15" customFormat="false" ht="15" hidden="false" customHeight="false" outlineLevel="0" collapsed="false">
      <c r="A15" s="4"/>
      <c r="B15" s="4" t="s">
        <v>194</v>
      </c>
      <c r="C15" s="4" t="s">
        <v>195</v>
      </c>
      <c r="D15" s="4" t="s">
        <v>198</v>
      </c>
      <c r="E15" s="4"/>
    </row>
    <row r="16" customFormat="false" ht="15" hidden="false" customHeight="false" outlineLevel="0" collapsed="false">
      <c r="A16" s="5"/>
      <c r="B16" s="5" t="s">
        <v>238</v>
      </c>
      <c r="C16" s="5" t="s">
        <v>239</v>
      </c>
      <c r="D16" s="6" t="n">
        <v>55000</v>
      </c>
      <c r="E16" s="5"/>
    </row>
    <row r="17" customFormat="false" ht="15" hidden="false" customHeight="false" outlineLevel="0" collapsed="false">
      <c r="A17" s="7"/>
      <c r="B17" s="7" t="s">
        <v>240</v>
      </c>
      <c r="C17" s="7" t="s">
        <v>241</v>
      </c>
      <c r="D17" s="8" t="n">
        <v>18000</v>
      </c>
      <c r="E17" s="7"/>
    </row>
    <row r="18" customFormat="false" ht="15" hidden="false" customHeight="false" outlineLevel="0" collapsed="false">
      <c r="A18" s="5"/>
      <c r="B18" s="5" t="s">
        <v>242</v>
      </c>
      <c r="C18" s="5" t="s">
        <v>243</v>
      </c>
      <c r="D18" s="6" t="n">
        <v>9000</v>
      </c>
      <c r="E18" s="5"/>
    </row>
    <row r="19" customFormat="false" ht="15" hidden="false" customHeight="false" outlineLevel="0" collapsed="false">
      <c r="A19" s="7"/>
      <c r="B19" s="7" t="s">
        <v>244</v>
      </c>
      <c r="C19" s="7" t="s">
        <v>245</v>
      </c>
      <c r="D19" s="8" t="n">
        <v>7000</v>
      </c>
      <c r="E1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50"/>
  </cols>
  <sheetData>
    <row r="2" customFormat="false" ht="17.35" hidden="false" customHeight="false" outlineLevel="0" collapsed="false">
      <c r="B2" s="24" t="s">
        <v>246</v>
      </c>
    </row>
    <row r="3" customFormat="false" ht="15" hidden="false" customHeight="false" outlineLevel="0" collapsed="false">
      <c r="B3" s="16" t="s">
        <v>247</v>
      </c>
    </row>
    <row r="5" customFormat="false" ht="15" hidden="false" customHeight="false" outlineLevel="0" collapsed="false">
      <c r="B5" s="3" t="s">
        <v>248</v>
      </c>
    </row>
    <row r="6" customFormat="false" ht="15" hidden="false" customHeight="false" outlineLevel="0" collapsed="false">
      <c r="A6" s="4"/>
      <c r="B6" s="4" t="s">
        <v>249</v>
      </c>
      <c r="C6" s="4" t="s">
        <v>198</v>
      </c>
      <c r="D6" s="4" t="s">
        <v>171</v>
      </c>
      <c r="E6" s="4" t="s">
        <v>6</v>
      </c>
    </row>
    <row r="7" customFormat="false" ht="15" hidden="false" customHeight="false" outlineLevel="0" collapsed="false">
      <c r="A7" s="5"/>
      <c r="B7" s="5" t="s">
        <v>250</v>
      </c>
      <c r="C7" s="6" t="n">
        <v>12500</v>
      </c>
      <c r="D7" s="5" t="s">
        <v>251</v>
      </c>
      <c r="E7" s="5" t="s">
        <v>252</v>
      </c>
    </row>
    <row r="8" customFormat="false" ht="15" hidden="false" customHeight="false" outlineLevel="0" collapsed="false">
      <c r="A8" s="7"/>
      <c r="B8" s="7" t="s">
        <v>253</v>
      </c>
      <c r="C8" s="8" t="n">
        <v>5000</v>
      </c>
      <c r="D8" s="7" t="s">
        <v>254</v>
      </c>
      <c r="E8" s="7" t="s">
        <v>255</v>
      </c>
    </row>
    <row r="9" customFormat="false" ht="15" hidden="false" customHeight="false" outlineLevel="0" collapsed="false">
      <c r="A9" s="5"/>
      <c r="B9" s="5" t="s">
        <v>256</v>
      </c>
      <c r="C9" s="6" t="n">
        <v>5500</v>
      </c>
      <c r="D9" s="5" t="s">
        <v>257</v>
      </c>
      <c r="E9" s="5" t="s">
        <v>258</v>
      </c>
    </row>
    <row r="10" customFormat="false" ht="15" hidden="false" customHeight="false" outlineLevel="0" collapsed="false">
      <c r="A10" s="7"/>
      <c r="B10" s="7" t="s">
        <v>259</v>
      </c>
      <c r="C10" s="8" t="n">
        <v>0</v>
      </c>
      <c r="D10" s="7" t="s">
        <v>260</v>
      </c>
      <c r="E10" s="7" t="s">
        <v>261</v>
      </c>
    </row>
    <row r="11" customFormat="false" ht="15" hidden="false" customHeight="false" outlineLevel="0" collapsed="false">
      <c r="A11" s="5"/>
      <c r="B11" s="5" t="s">
        <v>262</v>
      </c>
      <c r="C11" s="6" t="n">
        <v>300</v>
      </c>
      <c r="D11" s="5" t="s">
        <v>263</v>
      </c>
      <c r="E11" s="5" t="s">
        <v>264</v>
      </c>
    </row>
    <row r="12" customFormat="false" ht="15" hidden="false" customHeight="false" outlineLevel="0" collapsed="false">
      <c r="B12" s="25" t="s">
        <v>265</v>
      </c>
      <c r="C12" s="26" t="n">
        <f aca="false">SUM(C7:C11)</f>
        <v>23300</v>
      </c>
    </row>
    <row r="14" customFormat="false" ht="15" hidden="false" customHeight="false" outlineLevel="0" collapsed="false">
      <c r="B14" s="3" t="s">
        <v>266</v>
      </c>
    </row>
    <row r="15" customFormat="false" ht="15" hidden="false" customHeight="false" outlineLevel="0" collapsed="false">
      <c r="A15" s="4"/>
      <c r="B15" s="4" t="s">
        <v>267</v>
      </c>
      <c r="C15" s="4" t="s">
        <v>198</v>
      </c>
      <c r="D15" s="4" t="s">
        <v>268</v>
      </c>
      <c r="E15" s="4" t="s">
        <v>269</v>
      </c>
    </row>
    <row r="16" customFormat="false" ht="23.85" hidden="false" customHeight="false" outlineLevel="0" collapsed="false">
      <c r="A16" s="5"/>
      <c r="B16" s="19" t="s">
        <v>270</v>
      </c>
      <c r="C16" s="21" t="n">
        <v>2000</v>
      </c>
      <c r="D16" s="19" t="s">
        <v>271</v>
      </c>
      <c r="E16" s="19" t="s">
        <v>272</v>
      </c>
    </row>
    <row r="17" customFormat="false" ht="23.85" hidden="false" customHeight="false" outlineLevel="0" collapsed="false">
      <c r="A17" s="7"/>
      <c r="B17" s="18" t="s">
        <v>273</v>
      </c>
      <c r="C17" s="22" t="n">
        <v>8000</v>
      </c>
      <c r="D17" s="18" t="s">
        <v>271</v>
      </c>
      <c r="E17" s="18" t="s">
        <v>274</v>
      </c>
    </row>
    <row r="18" customFormat="false" ht="23.85" hidden="false" customHeight="false" outlineLevel="0" collapsed="false">
      <c r="A18" s="5"/>
      <c r="B18" s="19" t="s">
        <v>275</v>
      </c>
      <c r="C18" s="21" t="n">
        <v>3000</v>
      </c>
      <c r="D18" s="19" t="s">
        <v>276</v>
      </c>
      <c r="E18" s="19" t="s">
        <v>277</v>
      </c>
    </row>
    <row r="19" customFormat="false" ht="23.85" hidden="false" customHeight="false" outlineLevel="0" collapsed="false">
      <c r="A19" s="7"/>
      <c r="B19" s="18" t="s">
        <v>278</v>
      </c>
      <c r="C19" s="22" t="n">
        <v>1000</v>
      </c>
      <c r="D19" s="18" t="s">
        <v>276</v>
      </c>
      <c r="E19" s="18" t="s">
        <v>279</v>
      </c>
    </row>
    <row r="20" customFormat="false" ht="23.85" hidden="false" customHeight="false" outlineLevel="0" collapsed="false">
      <c r="A20" s="5"/>
      <c r="B20" s="19" t="s">
        <v>280</v>
      </c>
      <c r="C20" s="21" t="n">
        <v>3000</v>
      </c>
      <c r="D20" s="19" t="s">
        <v>276</v>
      </c>
      <c r="E20" s="19" t="s">
        <v>281</v>
      </c>
    </row>
    <row r="21" customFormat="false" ht="23.85" hidden="false" customHeight="false" outlineLevel="0" collapsed="false">
      <c r="A21" s="7"/>
      <c r="B21" s="18" t="s">
        <v>282</v>
      </c>
      <c r="C21" s="22" t="n">
        <v>363</v>
      </c>
      <c r="D21" s="18" t="s">
        <v>283</v>
      </c>
      <c r="E21" s="18" t="s">
        <v>284</v>
      </c>
    </row>
    <row r="22" customFormat="false" ht="23.85" hidden="false" customHeight="false" outlineLevel="0" collapsed="false">
      <c r="A22" s="5"/>
      <c r="B22" s="19" t="s">
        <v>285</v>
      </c>
      <c r="C22" s="21" t="n">
        <v>92</v>
      </c>
      <c r="D22" s="19" t="s">
        <v>283</v>
      </c>
      <c r="E22" s="19" t="s">
        <v>286</v>
      </c>
    </row>
    <row r="23" customFormat="false" ht="15" hidden="false" customHeight="false" outlineLevel="0" collapsed="false">
      <c r="B23" s="25" t="s">
        <v>265</v>
      </c>
      <c r="C23" s="26" t="n">
        <f aca="false">SUM(C16:C22)</f>
        <v>17455</v>
      </c>
    </row>
    <row r="25" customFormat="false" ht="15" hidden="false" customHeight="false" outlineLevel="0" collapsed="false">
      <c r="B25" s="27" t="s">
        <v>287</v>
      </c>
    </row>
    <row r="26" customFormat="false" ht="22.35" hidden="false" customHeight="true" outlineLevel="0" collapsed="false">
      <c r="B26" s="28" t="s">
        <v>288</v>
      </c>
      <c r="C26" s="28"/>
      <c r="D26" s="28"/>
      <c r="E26" s="28"/>
    </row>
    <row r="27" customFormat="false" ht="15" hidden="false" customHeight="true" outlineLevel="0" collapsed="false">
      <c r="B27" s="28" t="s">
        <v>289</v>
      </c>
      <c r="C27" s="28"/>
      <c r="D27" s="28"/>
      <c r="E27" s="28"/>
    </row>
    <row r="28" customFormat="false" ht="15" hidden="false" customHeight="true" outlineLevel="0" collapsed="false">
      <c r="B28" s="28" t="s">
        <v>290</v>
      </c>
      <c r="C28" s="28"/>
      <c r="D28" s="28"/>
      <c r="E28" s="28"/>
    </row>
    <row r="29" customFormat="false" ht="15" hidden="false" customHeight="true" outlineLevel="0" collapsed="false">
      <c r="B29" s="28" t="s">
        <v>291</v>
      </c>
      <c r="C29" s="28"/>
      <c r="D29" s="28"/>
      <c r="E29" s="28"/>
    </row>
  </sheetData>
  <mergeCells count="4">
    <mergeCell ref="B26:E26"/>
    <mergeCell ref="B27:E27"/>
    <mergeCell ref="B28:E28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2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4" min="3" style="0" width="14"/>
  </cols>
  <sheetData>
    <row r="2" customFormat="false" ht="17.35" hidden="false" customHeight="false" outlineLevel="0" collapsed="false">
      <c r="B2" s="29" t="s">
        <v>292</v>
      </c>
    </row>
    <row r="3" customFormat="false" ht="15" hidden="false" customHeight="false" outlineLevel="0" collapsed="false">
      <c r="B3" s="16" t="s">
        <v>293</v>
      </c>
    </row>
    <row r="5" customFormat="false" ht="15" hidden="false" customHeight="false" outlineLevel="0" collapsed="false">
      <c r="A5" s="4"/>
      <c r="B5" s="4" t="s">
        <v>294</v>
      </c>
      <c r="C5" s="4" t="s">
        <v>295</v>
      </c>
      <c r="D5" s="4" t="s">
        <v>296</v>
      </c>
      <c r="E5" s="4" t="s">
        <v>297</v>
      </c>
      <c r="F5" s="4" t="s">
        <v>298</v>
      </c>
      <c r="G5" s="4" t="s">
        <v>299</v>
      </c>
      <c r="H5" s="4" t="s">
        <v>300</v>
      </c>
      <c r="I5" s="4" t="s">
        <v>301</v>
      </c>
      <c r="J5" s="4" t="s">
        <v>302</v>
      </c>
      <c r="K5" s="4" t="s">
        <v>303</v>
      </c>
      <c r="L5" s="4" t="s">
        <v>304</v>
      </c>
      <c r="M5" s="4" t="s">
        <v>305</v>
      </c>
      <c r="N5" s="4" t="s">
        <v>306</v>
      </c>
    </row>
    <row r="6" customFormat="false" ht="15" hidden="false" customHeight="false" outlineLevel="0" collapsed="false">
      <c r="A6" s="5"/>
      <c r="B6" s="5" t="s">
        <v>307</v>
      </c>
      <c r="C6" s="6" t="n">
        <v>9200</v>
      </c>
      <c r="D6" s="6" t="n">
        <v>9200</v>
      </c>
      <c r="E6" s="6" t="n">
        <v>9200</v>
      </c>
      <c r="F6" s="6" t="n">
        <v>9200</v>
      </c>
      <c r="G6" s="6" t="n">
        <v>9200</v>
      </c>
      <c r="H6" s="6" t="n">
        <v>9200</v>
      </c>
      <c r="I6" s="6" t="n">
        <v>4600</v>
      </c>
      <c r="J6" s="6" t="n">
        <v>4600</v>
      </c>
      <c r="K6" s="6" t="n">
        <v>4600</v>
      </c>
      <c r="L6" s="6" t="n">
        <v>4600</v>
      </c>
      <c r="M6" s="6" t="n">
        <v>4600</v>
      </c>
      <c r="N6" s="6" t="n">
        <v>4600</v>
      </c>
    </row>
    <row r="7" customFormat="false" ht="15" hidden="false" customHeight="false" outlineLevel="0" collapsed="false">
      <c r="A7" s="7"/>
      <c r="B7" s="7" t="s">
        <v>308</v>
      </c>
      <c r="C7" s="8" t="n">
        <v>14</v>
      </c>
      <c r="D7" s="8" t="n">
        <v>14</v>
      </c>
      <c r="E7" s="8" t="n">
        <v>14</v>
      </c>
      <c r="F7" s="8" t="n">
        <v>14</v>
      </c>
      <c r="G7" s="8" t="n">
        <v>14</v>
      </c>
      <c r="H7" s="8" t="n">
        <v>14</v>
      </c>
      <c r="I7" s="8" t="n">
        <v>14</v>
      </c>
      <c r="J7" s="8" t="n">
        <v>14</v>
      </c>
      <c r="K7" s="8" t="n">
        <v>14</v>
      </c>
      <c r="L7" s="8" t="n">
        <v>14</v>
      </c>
      <c r="M7" s="8" t="n">
        <v>14</v>
      </c>
      <c r="N7" s="8" t="n">
        <v>14</v>
      </c>
    </row>
    <row r="8" customFormat="false" ht="15" hidden="false" customHeight="false" outlineLevel="0" collapsed="false">
      <c r="A8" s="5"/>
      <c r="B8" s="5" t="s">
        <v>309</v>
      </c>
      <c r="C8" s="6" t="n">
        <v>14</v>
      </c>
      <c r="D8" s="6" t="n">
        <v>14</v>
      </c>
      <c r="E8" s="6" t="n">
        <v>14</v>
      </c>
      <c r="F8" s="6" t="n">
        <v>14</v>
      </c>
      <c r="G8" s="6" t="n">
        <v>50</v>
      </c>
      <c r="H8" s="6" t="n">
        <v>100</v>
      </c>
      <c r="I8" s="6" t="n">
        <v>200</v>
      </c>
      <c r="J8" s="6" t="n">
        <v>300</v>
      </c>
      <c r="K8" s="6" t="n">
        <v>400</v>
      </c>
      <c r="L8" s="6" t="n">
        <v>500</v>
      </c>
      <c r="M8" s="6" t="n">
        <v>600</v>
      </c>
      <c r="N8" s="6" t="n">
        <v>700</v>
      </c>
    </row>
    <row r="9" customFormat="false" ht="15" hidden="false" customHeight="false" outlineLevel="0" collapsed="false">
      <c r="A9" s="7"/>
      <c r="B9" s="7" t="s">
        <v>310</v>
      </c>
      <c r="C9" s="8" t="n">
        <v>0</v>
      </c>
      <c r="D9" s="8" t="n">
        <v>0</v>
      </c>
      <c r="E9" s="8" t="n">
        <v>0</v>
      </c>
      <c r="F9" s="8" t="n">
        <v>200</v>
      </c>
      <c r="G9" s="8" t="n">
        <v>400</v>
      </c>
      <c r="H9" s="8" t="n">
        <v>600</v>
      </c>
      <c r="I9" s="8" t="n">
        <v>800</v>
      </c>
      <c r="J9" s="8" t="n">
        <v>1000</v>
      </c>
      <c r="K9" s="8" t="n">
        <v>1200</v>
      </c>
      <c r="L9" s="8" t="n">
        <v>1500</v>
      </c>
      <c r="M9" s="8" t="n">
        <v>1800</v>
      </c>
      <c r="N9" s="8" t="n">
        <v>2000</v>
      </c>
    </row>
    <row r="10" customFormat="false" ht="15" hidden="false" customHeight="false" outlineLevel="0" collapsed="false">
      <c r="A10" s="5"/>
      <c r="B10" s="5" t="s">
        <v>311</v>
      </c>
      <c r="C10" s="6" t="n">
        <v>0</v>
      </c>
      <c r="D10" s="6" t="n">
        <v>0</v>
      </c>
      <c r="E10" s="6" t="n">
        <v>50</v>
      </c>
      <c r="F10" s="6" t="n">
        <v>100</v>
      </c>
      <c r="G10" s="6" t="n">
        <v>150</v>
      </c>
      <c r="H10" s="6" t="n">
        <v>200</v>
      </c>
      <c r="I10" s="6" t="n">
        <v>250</v>
      </c>
      <c r="J10" s="6" t="n">
        <v>300</v>
      </c>
      <c r="K10" s="6" t="n">
        <v>350</v>
      </c>
      <c r="L10" s="6" t="n">
        <v>400</v>
      </c>
      <c r="M10" s="6" t="n">
        <v>450</v>
      </c>
      <c r="N10" s="6" t="n">
        <v>500</v>
      </c>
    </row>
    <row r="11" customFormat="false" ht="15" hidden="false" customHeight="false" outlineLevel="0" collapsed="false">
      <c r="A11" s="7"/>
      <c r="B11" s="7" t="s">
        <v>19</v>
      </c>
      <c r="C11" s="8" t="n">
        <v>0</v>
      </c>
      <c r="D11" s="8" t="n">
        <v>0</v>
      </c>
      <c r="E11" s="8" t="n">
        <v>50</v>
      </c>
      <c r="F11" s="8" t="n">
        <v>100</v>
      </c>
      <c r="G11" s="8" t="n">
        <v>100</v>
      </c>
      <c r="H11" s="8" t="n">
        <v>100</v>
      </c>
      <c r="I11" s="8" t="n">
        <v>150</v>
      </c>
      <c r="J11" s="8" t="n">
        <v>150</v>
      </c>
      <c r="K11" s="8" t="n">
        <v>200</v>
      </c>
      <c r="L11" s="8" t="n">
        <v>200</v>
      </c>
      <c r="M11" s="8" t="n">
        <v>250</v>
      </c>
      <c r="N11" s="8" t="n">
        <v>300</v>
      </c>
    </row>
    <row r="12" customFormat="false" ht="15" hidden="false" customHeight="false" outlineLevel="0" collapsed="false">
      <c r="A12" s="5"/>
      <c r="B12" s="5" t="s">
        <v>312</v>
      </c>
      <c r="C12" s="6" t="n">
        <v>10000</v>
      </c>
      <c r="D12" s="6" t="n">
        <v>5000</v>
      </c>
      <c r="E12" s="6" t="n">
        <v>2500</v>
      </c>
      <c r="F12" s="6" t="n">
        <v>500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500</v>
      </c>
      <c r="M12" s="6" t="n">
        <v>0</v>
      </c>
      <c r="N12" s="6" t="n">
        <v>0</v>
      </c>
    </row>
    <row r="13" customFormat="false" ht="15" hidden="false" customHeight="false" outlineLevel="0" collapsed="false">
      <c r="A13" s="7"/>
      <c r="B13" s="7" t="s">
        <v>313</v>
      </c>
      <c r="C13" s="8" t="n">
        <v>0</v>
      </c>
      <c r="D13" s="8" t="n">
        <v>0</v>
      </c>
      <c r="E13" s="8" t="n">
        <v>5000</v>
      </c>
      <c r="F13" s="8" t="n">
        <v>3000</v>
      </c>
      <c r="G13" s="8" t="n">
        <v>2000</v>
      </c>
      <c r="H13" s="8" t="n">
        <v>2000</v>
      </c>
      <c r="I13" s="8" t="n">
        <v>1500</v>
      </c>
      <c r="J13" s="8" t="n">
        <v>1500</v>
      </c>
      <c r="K13" s="8" t="n">
        <v>1000</v>
      </c>
      <c r="L13" s="8" t="n">
        <v>1000</v>
      </c>
      <c r="M13" s="8" t="n">
        <v>1000</v>
      </c>
      <c r="N13" s="8" t="n">
        <v>1000</v>
      </c>
    </row>
    <row r="14" customFormat="false" ht="15" hidden="false" customHeight="false" outlineLevel="0" collapsed="false">
      <c r="A14" s="5"/>
      <c r="B14" s="5" t="s">
        <v>314</v>
      </c>
      <c r="C14" s="6" t="n">
        <v>500</v>
      </c>
      <c r="D14" s="6" t="n">
        <v>500</v>
      </c>
      <c r="E14" s="6" t="n">
        <v>500</v>
      </c>
      <c r="F14" s="6" t="n">
        <v>500</v>
      </c>
      <c r="G14" s="6" t="n">
        <v>500</v>
      </c>
      <c r="H14" s="6" t="n">
        <v>500</v>
      </c>
      <c r="I14" s="6" t="n">
        <v>500</v>
      </c>
      <c r="J14" s="6" t="n">
        <v>500</v>
      </c>
      <c r="K14" s="6" t="n">
        <v>500</v>
      </c>
      <c r="L14" s="6" t="n">
        <v>500</v>
      </c>
      <c r="M14" s="6" t="n">
        <v>500</v>
      </c>
      <c r="N14" s="6" t="n">
        <v>500</v>
      </c>
    </row>
    <row r="15" customFormat="false" ht="15" hidden="false" customHeight="false" outlineLevel="0" collapsed="false">
      <c r="A15" s="9"/>
      <c r="B15" s="30" t="s">
        <v>315</v>
      </c>
      <c r="C15" s="31" t="n">
        <f aca="false">SUM(C6:C14)</f>
        <v>19728</v>
      </c>
      <c r="D15" s="31" t="n">
        <f aca="false">SUM(D6:D14)</f>
        <v>14728</v>
      </c>
      <c r="E15" s="31" t="n">
        <f aca="false">SUM(E6:E14)</f>
        <v>17328</v>
      </c>
      <c r="F15" s="31" t="n">
        <f aca="false">SUM(F6:F14)</f>
        <v>13628</v>
      </c>
      <c r="G15" s="31" t="n">
        <f aca="false">SUM(G6:G14)</f>
        <v>12414</v>
      </c>
      <c r="H15" s="31" t="n">
        <f aca="false">SUM(H6:H14)</f>
        <v>12714</v>
      </c>
      <c r="I15" s="31" t="n">
        <f aca="false">SUM(I6:I14)</f>
        <v>8014</v>
      </c>
      <c r="J15" s="31" t="n">
        <f aca="false">SUM(J6:J14)</f>
        <v>8364</v>
      </c>
      <c r="K15" s="31" t="n">
        <f aca="false">SUM(K6:K14)</f>
        <v>8264</v>
      </c>
      <c r="L15" s="31" t="n">
        <f aca="false">SUM(L6:L14)</f>
        <v>9214</v>
      </c>
      <c r="M15" s="31" t="n">
        <f aca="false">SUM(M6:M14)</f>
        <v>9214</v>
      </c>
      <c r="N15" s="31" t="n">
        <f aca="false">SUM(N6:N14)</f>
        <v>9614</v>
      </c>
    </row>
    <row r="16" customFormat="false" ht="15" hidden="false" customHeight="false" outlineLevel="0" collapsed="false">
      <c r="B16" s="32" t="s">
        <v>316</v>
      </c>
      <c r="C16" s="26" t="n">
        <f aca="false">C15</f>
        <v>19728</v>
      </c>
      <c r="D16" s="26" t="n">
        <f aca="false">C16+D15</f>
        <v>34456</v>
      </c>
      <c r="E16" s="26" t="n">
        <f aca="false">D16+E15</f>
        <v>51784</v>
      </c>
      <c r="F16" s="26" t="n">
        <f aca="false">E16+F15</f>
        <v>65412</v>
      </c>
      <c r="G16" s="26" t="n">
        <f aca="false">F16+G15</f>
        <v>77826</v>
      </c>
      <c r="H16" s="26" t="n">
        <f aca="false">G16+H15</f>
        <v>90540</v>
      </c>
      <c r="I16" s="26" t="n">
        <f aca="false">H16+I15</f>
        <v>98554</v>
      </c>
      <c r="J16" s="26" t="n">
        <f aca="false">I16+J15</f>
        <v>106918</v>
      </c>
      <c r="K16" s="26" t="n">
        <f aca="false">J16+K15</f>
        <v>115182</v>
      </c>
      <c r="L16" s="26" t="n">
        <f aca="false">K16+L15</f>
        <v>124396</v>
      </c>
      <c r="M16" s="26" t="n">
        <f aca="false">L16+M15</f>
        <v>133610</v>
      </c>
      <c r="N16" s="26" t="n">
        <f aca="false">M16+N15</f>
        <v>143224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D158"/>
    <pageSetUpPr fitToPage="false"/>
  </sheetPr>
  <dimension ref="A2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50"/>
    <col collapsed="false" customWidth="true" hidden="false" outlineLevel="0" max="6" min="5" style="0" width="15"/>
  </cols>
  <sheetData>
    <row r="2" customFormat="false" ht="17.35" hidden="false" customHeight="false" outlineLevel="0" collapsed="false">
      <c r="B2" s="33" t="s">
        <v>317</v>
      </c>
    </row>
    <row r="3" customFormat="false" ht="15" hidden="false" customHeight="false" outlineLevel="0" collapsed="false">
      <c r="B3" s="16" t="s">
        <v>318</v>
      </c>
    </row>
    <row r="5" customFormat="false" ht="15" hidden="false" customHeight="false" outlineLevel="0" collapsed="false">
      <c r="A5" s="4"/>
      <c r="B5" s="4" t="s">
        <v>319</v>
      </c>
      <c r="C5" s="4" t="s">
        <v>320</v>
      </c>
      <c r="D5" s="4" t="s">
        <v>269</v>
      </c>
      <c r="E5" s="4" t="s">
        <v>198</v>
      </c>
      <c r="F5" s="4" t="s">
        <v>193</v>
      </c>
    </row>
    <row r="6" customFormat="false" ht="15" hidden="false" customHeight="false" outlineLevel="0" collapsed="false">
      <c r="B6" s="34"/>
      <c r="C6" s="34" t="s">
        <v>321</v>
      </c>
      <c r="D6" s="34"/>
      <c r="E6" s="34"/>
      <c r="F6" s="34"/>
    </row>
    <row r="7" customFormat="false" ht="23.85" hidden="false" customHeight="false" outlineLevel="0" collapsed="false">
      <c r="A7" s="7"/>
      <c r="B7" s="18" t="s">
        <v>322</v>
      </c>
      <c r="C7" s="18" t="s">
        <v>323</v>
      </c>
      <c r="D7" s="18" t="s">
        <v>324</v>
      </c>
      <c r="E7" s="22" t="n">
        <v>12500</v>
      </c>
      <c r="F7" s="18" t="s">
        <v>325</v>
      </c>
    </row>
    <row r="8" customFormat="false" ht="15" hidden="false" customHeight="false" outlineLevel="0" collapsed="false">
      <c r="A8" s="5"/>
      <c r="B8" s="19" t="s">
        <v>322</v>
      </c>
      <c r="C8" s="19" t="s">
        <v>326</v>
      </c>
      <c r="D8" s="19" t="s">
        <v>327</v>
      </c>
      <c r="E8" s="19" t="n">
        <v>0</v>
      </c>
      <c r="F8" s="19" t="s">
        <v>328</v>
      </c>
    </row>
    <row r="9" customFormat="false" ht="15" hidden="false" customHeight="false" outlineLevel="0" collapsed="false">
      <c r="A9" s="7"/>
      <c r="B9" s="18" t="s">
        <v>322</v>
      </c>
      <c r="C9" s="18" t="s">
        <v>329</v>
      </c>
      <c r="D9" s="18" t="s">
        <v>330</v>
      </c>
      <c r="E9" s="22" t="n">
        <v>5500</v>
      </c>
      <c r="F9" s="18" t="s">
        <v>328</v>
      </c>
    </row>
    <row r="10" customFormat="false" ht="15" hidden="false" customHeight="false" outlineLevel="0" collapsed="false">
      <c r="A10" s="5"/>
      <c r="B10" s="19" t="s">
        <v>322</v>
      </c>
      <c r="C10" s="19" t="s">
        <v>331</v>
      </c>
      <c r="D10" s="19" t="s">
        <v>332</v>
      </c>
      <c r="E10" s="21" t="n">
        <v>2000</v>
      </c>
      <c r="F10" s="19" t="s">
        <v>325</v>
      </c>
    </row>
    <row r="11" customFormat="false" ht="23.85" hidden="false" customHeight="false" outlineLevel="0" collapsed="false">
      <c r="A11" s="7"/>
      <c r="B11" s="18" t="s">
        <v>322</v>
      </c>
      <c r="C11" s="18" t="s">
        <v>333</v>
      </c>
      <c r="D11" s="18" t="s">
        <v>334</v>
      </c>
      <c r="E11" s="22" t="n">
        <v>3000</v>
      </c>
      <c r="F11" s="18" t="s">
        <v>325</v>
      </c>
    </row>
    <row r="12" customFormat="false" ht="15" hidden="false" customHeight="false" outlineLevel="0" collapsed="false">
      <c r="A12" s="5"/>
      <c r="B12" s="19" t="s">
        <v>322</v>
      </c>
      <c r="C12" s="19" t="s">
        <v>335</v>
      </c>
      <c r="D12" s="19" t="s">
        <v>336</v>
      </c>
      <c r="E12" s="21" t="n">
        <v>3000</v>
      </c>
      <c r="F12" s="19" t="s">
        <v>337</v>
      </c>
    </row>
    <row r="13" customFormat="false" ht="15" hidden="false" customHeight="false" outlineLevel="0" collapsed="false">
      <c r="A13" s="7"/>
      <c r="B13" s="18" t="s">
        <v>322</v>
      </c>
      <c r="C13" s="18" t="s">
        <v>338</v>
      </c>
      <c r="D13" s="18" t="s">
        <v>339</v>
      </c>
      <c r="E13" s="18" t="n">
        <v>0</v>
      </c>
      <c r="F13" s="18" t="s">
        <v>337</v>
      </c>
    </row>
    <row r="14" customFormat="false" ht="15" hidden="false" customHeight="false" outlineLevel="0" collapsed="false">
      <c r="A14" s="5"/>
      <c r="B14" s="19" t="s">
        <v>322</v>
      </c>
      <c r="C14" s="19" t="s">
        <v>340</v>
      </c>
      <c r="D14" s="19" t="s">
        <v>341</v>
      </c>
      <c r="E14" s="21" t="n">
        <v>8000</v>
      </c>
      <c r="F14" s="19" t="s">
        <v>342</v>
      </c>
    </row>
    <row r="15" customFormat="false" ht="15" hidden="false" customHeight="false" outlineLevel="0" collapsed="false">
      <c r="B15" s="34"/>
      <c r="C15" s="34" t="s">
        <v>343</v>
      </c>
      <c r="D15" s="34"/>
      <c r="E15" s="34"/>
      <c r="F15" s="34"/>
    </row>
    <row r="16" customFormat="false" ht="15" hidden="false" customHeight="false" outlineLevel="0" collapsed="false">
      <c r="A16" s="5"/>
      <c r="B16" s="19" t="s">
        <v>322</v>
      </c>
      <c r="C16" s="19" t="s">
        <v>344</v>
      </c>
      <c r="D16" s="19" t="s">
        <v>345</v>
      </c>
      <c r="E16" s="21" t="n">
        <v>14</v>
      </c>
      <c r="F16" s="19" t="s">
        <v>325</v>
      </c>
    </row>
    <row r="17" customFormat="false" ht="15" hidden="false" customHeight="false" outlineLevel="0" collapsed="false">
      <c r="A17" s="7"/>
      <c r="B17" s="18" t="s">
        <v>322</v>
      </c>
      <c r="C17" s="18" t="s">
        <v>346</v>
      </c>
      <c r="D17" s="18" t="s">
        <v>347</v>
      </c>
      <c r="E17" s="18" t="n">
        <v>0</v>
      </c>
      <c r="F17" s="18" t="s">
        <v>325</v>
      </c>
    </row>
    <row r="18" customFormat="false" ht="15" hidden="false" customHeight="false" outlineLevel="0" collapsed="false">
      <c r="A18" s="5"/>
      <c r="B18" s="19" t="s">
        <v>322</v>
      </c>
      <c r="C18" s="19" t="s">
        <v>348</v>
      </c>
      <c r="D18" s="19" t="s">
        <v>349</v>
      </c>
      <c r="E18" s="19" t="n">
        <v>0</v>
      </c>
      <c r="F18" s="19" t="s">
        <v>337</v>
      </c>
    </row>
    <row r="19" customFormat="false" ht="15" hidden="false" customHeight="false" outlineLevel="0" collapsed="false">
      <c r="A19" s="7"/>
      <c r="B19" s="18" t="s">
        <v>322</v>
      </c>
      <c r="C19" s="18" t="s">
        <v>350</v>
      </c>
      <c r="D19" s="18" t="s">
        <v>351</v>
      </c>
      <c r="E19" s="18" t="n">
        <v>0</v>
      </c>
      <c r="F19" s="18" t="s">
        <v>325</v>
      </c>
    </row>
    <row r="20" customFormat="false" ht="15" hidden="false" customHeight="false" outlineLevel="0" collapsed="false">
      <c r="A20" s="5"/>
      <c r="B20" s="19" t="s">
        <v>322</v>
      </c>
      <c r="C20" s="19" t="s">
        <v>352</v>
      </c>
      <c r="D20" s="19" t="s">
        <v>353</v>
      </c>
      <c r="E20" s="21" t="n">
        <v>50</v>
      </c>
      <c r="F20" s="19" t="s">
        <v>328</v>
      </c>
    </row>
    <row r="21" customFormat="false" ht="15" hidden="false" customHeight="false" outlineLevel="0" collapsed="false">
      <c r="A21" s="7"/>
      <c r="B21" s="18" t="s">
        <v>322</v>
      </c>
      <c r="C21" s="18" t="s">
        <v>354</v>
      </c>
      <c r="D21" s="18" t="s">
        <v>355</v>
      </c>
      <c r="E21" s="18" t="n">
        <v>0</v>
      </c>
      <c r="F21" s="18" t="s">
        <v>328</v>
      </c>
    </row>
    <row r="22" customFormat="false" ht="15" hidden="false" customHeight="false" outlineLevel="0" collapsed="false">
      <c r="A22" s="5"/>
      <c r="B22" s="19" t="s">
        <v>322</v>
      </c>
      <c r="C22" s="19" t="s">
        <v>356</v>
      </c>
      <c r="D22" s="19" t="s">
        <v>357</v>
      </c>
      <c r="E22" s="21" t="n">
        <v>300</v>
      </c>
      <c r="F22" s="19" t="s">
        <v>325</v>
      </c>
    </row>
    <row r="23" customFormat="false" ht="15" hidden="false" customHeight="false" outlineLevel="0" collapsed="false">
      <c r="B23" s="34"/>
      <c r="C23" s="34" t="s">
        <v>358</v>
      </c>
      <c r="D23" s="34"/>
      <c r="E23" s="34"/>
      <c r="F23" s="34"/>
    </row>
    <row r="24" customFormat="false" ht="15" hidden="false" customHeight="false" outlineLevel="0" collapsed="false">
      <c r="A24" s="5"/>
      <c r="B24" s="19" t="s">
        <v>322</v>
      </c>
      <c r="C24" s="19" t="s">
        <v>359</v>
      </c>
      <c r="D24" s="19" t="s">
        <v>360</v>
      </c>
      <c r="E24" s="19" t="n">
        <v>0</v>
      </c>
      <c r="F24" s="19" t="s">
        <v>325</v>
      </c>
    </row>
    <row r="25" customFormat="false" ht="15" hidden="false" customHeight="false" outlineLevel="0" collapsed="false">
      <c r="A25" s="7"/>
      <c r="B25" s="18" t="s">
        <v>322</v>
      </c>
      <c r="C25" s="18" t="s">
        <v>361</v>
      </c>
      <c r="D25" s="18" t="s">
        <v>362</v>
      </c>
      <c r="E25" s="18" t="n">
        <v>0</v>
      </c>
      <c r="F25" s="18" t="s">
        <v>363</v>
      </c>
    </row>
    <row r="26" customFormat="false" ht="15" hidden="false" customHeight="false" outlineLevel="0" collapsed="false">
      <c r="A26" s="5"/>
      <c r="B26" s="19" t="s">
        <v>322</v>
      </c>
      <c r="C26" s="19" t="s">
        <v>364</v>
      </c>
      <c r="D26" s="19" t="s">
        <v>365</v>
      </c>
      <c r="E26" s="19" t="n">
        <v>0</v>
      </c>
      <c r="F26" s="19" t="s">
        <v>366</v>
      </c>
    </row>
    <row r="27" customFormat="false" ht="15" hidden="false" customHeight="false" outlineLevel="0" collapsed="false">
      <c r="B27" s="34"/>
      <c r="C27" s="34" t="s">
        <v>367</v>
      </c>
      <c r="D27" s="34"/>
      <c r="E27" s="34"/>
      <c r="F27" s="34"/>
    </row>
    <row r="28" customFormat="false" ht="15" hidden="false" customHeight="false" outlineLevel="0" collapsed="false">
      <c r="A28" s="5"/>
      <c r="B28" s="19" t="s">
        <v>322</v>
      </c>
      <c r="C28" s="19" t="s">
        <v>368</v>
      </c>
      <c r="D28" s="19" t="s">
        <v>369</v>
      </c>
      <c r="E28" s="19" t="n">
        <v>0</v>
      </c>
      <c r="F28" s="19" t="s">
        <v>370</v>
      </c>
    </row>
    <row r="29" customFormat="false" ht="15" hidden="false" customHeight="false" outlineLevel="0" collapsed="false">
      <c r="A29" s="7"/>
      <c r="B29" s="18" t="s">
        <v>322</v>
      </c>
      <c r="C29" s="18" t="s">
        <v>371</v>
      </c>
      <c r="D29" s="18" t="s">
        <v>372</v>
      </c>
      <c r="E29" s="18" t="n">
        <v>0</v>
      </c>
      <c r="F29" s="18" t="s">
        <v>370</v>
      </c>
    </row>
    <row r="30" customFormat="false" ht="15" hidden="false" customHeight="false" outlineLevel="0" collapsed="false">
      <c r="A30" s="5"/>
      <c r="B30" s="19" t="s">
        <v>322</v>
      </c>
      <c r="C30" s="19" t="s">
        <v>373</v>
      </c>
      <c r="D30" s="19" t="s">
        <v>374</v>
      </c>
      <c r="E30" s="19" t="n">
        <v>0</v>
      </c>
      <c r="F30" s="19" t="s">
        <v>375</v>
      </c>
    </row>
    <row r="31" customFormat="false" ht="15" hidden="false" customHeight="false" outlineLevel="0" collapsed="false">
      <c r="A31" s="7"/>
      <c r="B31" s="18" t="s">
        <v>322</v>
      </c>
      <c r="C31" s="18" t="s">
        <v>376</v>
      </c>
      <c r="D31" s="18" t="s">
        <v>377</v>
      </c>
      <c r="E31" s="18" t="n">
        <v>0</v>
      </c>
      <c r="F31" s="18" t="s">
        <v>378</v>
      </c>
    </row>
    <row r="32" customFormat="false" ht="15" hidden="false" customHeight="false" outlineLevel="0" collapsed="false">
      <c r="A32" s="5"/>
      <c r="B32" s="19" t="s">
        <v>322</v>
      </c>
      <c r="C32" s="19" t="s">
        <v>379</v>
      </c>
      <c r="D32" s="19" t="s">
        <v>380</v>
      </c>
      <c r="E32" s="19" t="n">
        <v>0</v>
      </c>
      <c r="F32" s="19" t="s">
        <v>375</v>
      </c>
    </row>
    <row r="33" customFormat="false" ht="15" hidden="false" customHeight="false" outlineLevel="0" collapsed="false">
      <c r="A33" s="7"/>
      <c r="B33" s="18" t="s">
        <v>322</v>
      </c>
      <c r="C33" s="18" t="s">
        <v>381</v>
      </c>
      <c r="D33" s="18" t="s">
        <v>382</v>
      </c>
      <c r="E33" s="18" t="n">
        <v>0</v>
      </c>
      <c r="F33" s="18" t="s">
        <v>375</v>
      </c>
    </row>
    <row r="34" customFormat="false" ht="15" hidden="false" customHeight="false" outlineLevel="0" collapsed="false">
      <c r="A34" s="5"/>
      <c r="B34" s="19" t="s">
        <v>322</v>
      </c>
      <c r="C34" s="19" t="s">
        <v>383</v>
      </c>
      <c r="D34" s="19" t="s">
        <v>384</v>
      </c>
      <c r="E34" s="19" t="n">
        <v>0</v>
      </c>
      <c r="F34" s="19" t="s">
        <v>385</v>
      </c>
    </row>
    <row r="35" customFormat="false" ht="15" hidden="false" customHeight="false" outlineLevel="0" collapsed="false">
      <c r="A35" s="7"/>
      <c r="B35" s="18" t="s">
        <v>322</v>
      </c>
      <c r="C35" s="18" t="s">
        <v>386</v>
      </c>
      <c r="D35" s="18" t="s">
        <v>387</v>
      </c>
      <c r="E35" s="18" t="n">
        <v>0</v>
      </c>
      <c r="F35" s="18" t="s">
        <v>388</v>
      </c>
    </row>
    <row r="36" customFormat="false" ht="15" hidden="false" customHeight="false" outlineLevel="0" collapsed="false">
      <c r="A36" s="5"/>
      <c r="B36" s="19" t="s">
        <v>322</v>
      </c>
      <c r="C36" s="19" t="s">
        <v>389</v>
      </c>
      <c r="D36" s="19" t="s">
        <v>390</v>
      </c>
      <c r="E36" s="19" t="n">
        <v>0</v>
      </c>
      <c r="F36" s="19" t="s">
        <v>391</v>
      </c>
    </row>
    <row r="37" customFormat="false" ht="15" hidden="false" customHeight="false" outlineLevel="0" collapsed="false">
      <c r="A37" s="7"/>
      <c r="B37" s="18" t="s">
        <v>322</v>
      </c>
      <c r="C37" s="18" t="s">
        <v>392</v>
      </c>
      <c r="D37" s="18" t="s">
        <v>393</v>
      </c>
      <c r="E37" s="18" t="n">
        <v>0</v>
      </c>
      <c r="F37" s="18" t="s">
        <v>391</v>
      </c>
    </row>
    <row r="38" customFormat="false" ht="15" hidden="false" customHeight="false" outlineLevel="0" collapsed="false">
      <c r="B38" s="34"/>
      <c r="C38" s="34" t="s">
        <v>394</v>
      </c>
      <c r="D38" s="34"/>
      <c r="E38" s="34"/>
      <c r="F38" s="34"/>
    </row>
    <row r="39" customFormat="false" ht="15" hidden="false" customHeight="false" outlineLevel="0" collapsed="false">
      <c r="A39" s="7"/>
      <c r="B39" s="18" t="s">
        <v>322</v>
      </c>
      <c r="C39" s="18" t="s">
        <v>395</v>
      </c>
      <c r="D39" s="18" t="s">
        <v>396</v>
      </c>
      <c r="E39" s="22" t="n">
        <v>363</v>
      </c>
      <c r="F39" s="18" t="s">
        <v>397</v>
      </c>
    </row>
    <row r="40" customFormat="false" ht="15" hidden="false" customHeight="false" outlineLevel="0" collapsed="false">
      <c r="A40" s="5"/>
      <c r="B40" s="19" t="s">
        <v>322</v>
      </c>
      <c r="C40" s="19" t="s">
        <v>398</v>
      </c>
      <c r="D40" s="19" t="s">
        <v>399</v>
      </c>
      <c r="E40" s="21" t="n">
        <v>92</v>
      </c>
      <c r="F40" s="19" t="s">
        <v>397</v>
      </c>
    </row>
    <row r="41" customFormat="false" ht="15" hidden="false" customHeight="false" outlineLevel="0" collapsed="false">
      <c r="A41" s="7"/>
      <c r="B41" s="18" t="s">
        <v>322</v>
      </c>
      <c r="C41" s="18" t="s">
        <v>400</v>
      </c>
      <c r="D41" s="18" t="s">
        <v>401</v>
      </c>
      <c r="E41" s="18" t="n">
        <v>0</v>
      </c>
      <c r="F41" s="18" t="s">
        <v>397</v>
      </c>
    </row>
    <row r="42" customFormat="false" ht="15" hidden="false" customHeight="false" outlineLevel="0" collapsed="false">
      <c r="A42" s="5"/>
      <c r="B42" s="19" t="s">
        <v>322</v>
      </c>
      <c r="C42" s="19" t="s">
        <v>402</v>
      </c>
      <c r="D42" s="19" t="s">
        <v>403</v>
      </c>
      <c r="E42" s="19" t="n">
        <v>0</v>
      </c>
      <c r="F42" s="19" t="s">
        <v>404</v>
      </c>
    </row>
    <row r="43" customFormat="false" ht="15" hidden="false" customHeight="false" outlineLevel="0" collapsed="false">
      <c r="A43" s="7"/>
      <c r="B43" s="18" t="s">
        <v>322</v>
      </c>
      <c r="C43" s="18" t="s">
        <v>405</v>
      </c>
      <c r="D43" s="18" t="s">
        <v>406</v>
      </c>
      <c r="E43" s="18" t="n">
        <v>0</v>
      </c>
      <c r="F43" s="18" t="s">
        <v>404</v>
      </c>
    </row>
    <row r="44" customFormat="false" ht="15" hidden="false" customHeight="false" outlineLevel="0" collapsed="false">
      <c r="B44" s="34"/>
      <c r="C44" s="34" t="s">
        <v>407</v>
      </c>
      <c r="D44" s="34"/>
      <c r="E44" s="34"/>
      <c r="F44" s="34"/>
    </row>
    <row r="45" customFormat="false" ht="15" hidden="false" customHeight="false" outlineLevel="0" collapsed="false">
      <c r="A45" s="7"/>
      <c r="B45" s="18" t="s">
        <v>322</v>
      </c>
      <c r="C45" s="18" t="s">
        <v>408</v>
      </c>
      <c r="D45" s="18" t="s">
        <v>409</v>
      </c>
      <c r="E45" s="22" t="n">
        <v>5000</v>
      </c>
      <c r="F45" s="18" t="s">
        <v>410</v>
      </c>
    </row>
    <row r="46" customFormat="false" ht="15" hidden="false" customHeight="false" outlineLevel="0" collapsed="false">
      <c r="A46" s="5"/>
      <c r="B46" s="19" t="s">
        <v>322</v>
      </c>
      <c r="C46" s="19" t="s">
        <v>411</v>
      </c>
      <c r="D46" s="19" t="s">
        <v>412</v>
      </c>
      <c r="E46" s="19" t="n">
        <v>0</v>
      </c>
      <c r="F46" s="19" t="s">
        <v>391</v>
      </c>
    </row>
    <row r="47" customFormat="false" ht="15" hidden="false" customHeight="false" outlineLevel="0" collapsed="false">
      <c r="A47" s="7"/>
      <c r="B47" s="18" t="s">
        <v>322</v>
      </c>
      <c r="C47" s="18" t="s">
        <v>413</v>
      </c>
      <c r="D47" s="18" t="s">
        <v>414</v>
      </c>
      <c r="E47" s="22" t="n">
        <v>10000</v>
      </c>
      <c r="F47" s="18" t="s">
        <v>397</v>
      </c>
    </row>
    <row r="48" customFormat="false" ht="15" hidden="false" customHeight="false" outlineLevel="0" collapsed="false">
      <c r="A48" s="5"/>
      <c r="B48" s="19" t="s">
        <v>322</v>
      </c>
      <c r="C48" s="19" t="s">
        <v>415</v>
      </c>
      <c r="D48" s="19" t="s">
        <v>416</v>
      </c>
      <c r="E48" s="19" t="n">
        <v>0</v>
      </c>
      <c r="F48" s="19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2026-03-28T06:14:36Z</dcterms:created>
  <dc:creator>openpyxl</dc:creator>
  <dc:description/>
  <dc:language>en-US</dc:language>
  <cp:lastModifiedBy/>
  <dcterms:modified xsi:type="dcterms:W3CDTF">2026-03-28T06:14:36Z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