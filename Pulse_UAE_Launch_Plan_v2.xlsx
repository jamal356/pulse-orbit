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Tech Stack" sheetId="2" state="visible" r:id="rId4"/>
    <sheet name="Dev Roadmap" sheetId="3" state="visible" r:id="rId5"/>
    <sheet name="All Costs" sheetId="4" state="visible" r:id="rId6"/>
    <sheet name="Monthly Burn" sheetId="5" state="visible" r:id="rId7"/>
    <sheet name="Launch Checklist" sheetId="6" state="visible" r:id="rId8"/>
    <sheet name="Country Comparis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Pulse Orbit</author>
  </authors>
  <commentList>
    <comment ref="C5" authorId="0">
      <text>
        <r>
          <rPr>
            <sz val="10"/>
            <rFont val="Arial"/>
            <family val="2"/>
          </rPr>
          <t xml:space="preserve">Claude Code builds the product — zero dev cost</t>
        </r>
      </text>
    </comment>
  </commentList>
</comments>
</file>

<file path=xl/sharedStrings.xml><?xml version="1.0" encoding="utf-8"?>
<sst xmlns="http://schemas.openxmlformats.org/spreadsheetml/2006/main" count="487" uniqueCount="368">
  <si>
    <t xml:space="preserve">PULSE ORBIT — UAE PILOT LAUNCH PLAN (REVISED)</t>
  </si>
  <si>
    <t xml:space="preserve">Claude Code as primary developer | Balanced tech stack | All costs included</t>
  </si>
  <si>
    <t xml:space="preserve">KEY METRIC</t>
  </si>
  <si>
    <t xml:space="preserve">VALUE</t>
  </si>
  <si>
    <t xml:space="preserve">UNIT</t>
  </si>
  <si>
    <t xml:space="preserve">NOTES</t>
  </si>
  <si>
    <t xml:space="preserve">Development Cost</t>
  </si>
  <si>
    <t xml:space="preserve">AED</t>
  </si>
  <si>
    <t xml:space="preserve">Claude Code — no dev hiring</t>
  </si>
  <si>
    <t xml:space="preserve">Company Formation (IFZA)</t>
  </si>
  <si>
    <t xml:space="preserve">Freezone license + visa + flexi-desk</t>
  </si>
  <si>
    <t xml:space="preserve">Tech Stack (Year 1)</t>
  </si>
  <si>
    <t xml:space="preserve">App Store Fees (Year 1)</t>
  </si>
  <si>
    <t xml:space="preserve">Apple 30% / Google 15% on revenue</t>
  </si>
  <si>
    <t xml:space="preserve">Marketing Budget (3 months)</t>
  </si>
  <si>
    <t xml:space="preserve">Soft launch — influencer + social</t>
  </si>
  <si>
    <t xml:space="preserve">Legal &amp; Compliance</t>
  </si>
  <si>
    <t xml:space="preserve">TRA registration + PDPL + T&amp;C</t>
  </si>
  <si>
    <t xml:space="preserve">Total Pre-Launch Investment</t>
  </si>
  <si>
    <t xml:space="preserve">Sum of all one-time costs</t>
  </si>
  <si>
    <t xml:space="preserve">Monthly Operational Cost</t>
  </si>
  <si>
    <t xml:space="preserve">AED/mo</t>
  </si>
  <si>
    <t xml:space="preserve">See Monthly Burn sheet</t>
  </si>
  <si>
    <t xml:space="preserve">REVENUE MODEL</t>
  </si>
  <si>
    <t xml:space="preserve">Subscription (Basic)</t>
  </si>
  <si>
    <t xml:space="preserve">Group 5×5 access</t>
  </si>
  <si>
    <t xml:space="preserve">Subscription (Premium)</t>
  </si>
  <si>
    <t xml:space="preserve">1-to-1 speed dates + group</t>
  </si>
  <si>
    <t xml:space="preserve">Break-even Users (Basic)</t>
  </si>
  <si>
    <t xml:space="preserve">users</t>
  </si>
  <si>
    <t xml:space="preserve">Monthly cost / net revenue per user</t>
  </si>
  <si>
    <t xml:space="preserve">Break-even Users (Premium)</t>
  </si>
  <si>
    <t xml:space="preserve">LAUNCH COUNTRY</t>
  </si>
  <si>
    <t xml:space="preserve">Corporate Tax</t>
  </si>
  <si>
    <t xml:space="preserve">9%</t>
  </si>
  <si>
    <t xml:space="preserve">Only on profits &gt; AED 375K</t>
  </si>
  <si>
    <t xml:space="preserve">Personal Income Tax</t>
  </si>
  <si>
    <t xml:space="preserve">0%</t>
  </si>
  <si>
    <t xml:space="preserve">Company Type</t>
  </si>
  <si>
    <t xml:space="preserve">IFZA Freezone</t>
  </si>
  <si>
    <t xml:space="preserve">100% foreign ownership</t>
  </si>
  <si>
    <t xml:space="preserve">Payment Processor</t>
  </si>
  <si>
    <t xml:space="preserve">Tap Payments</t>
  </si>
  <si>
    <t xml:space="preserve">2.75% + AED 1 per txn</t>
  </si>
  <si>
    <t xml:space="preserve">Video Provider</t>
  </si>
  <si>
    <t xml:space="preserve">Daily.co</t>
  </si>
  <si>
    <t xml:space="preserve">UAE-approved, WebRTC, $0.004/min</t>
  </si>
  <si>
    <t xml:space="preserve">Backend</t>
  </si>
  <si>
    <t xml:space="preserve">Supabase</t>
  </si>
  <si>
    <t xml:space="preserve">Free tier → $25/mo at scale</t>
  </si>
  <si>
    <t xml:space="preserve">Hosting</t>
  </si>
  <si>
    <t xml:space="preserve">Vercel + Cloudflare</t>
  </si>
  <si>
    <t xml:space="preserve">Free tier → $20/mo</t>
  </si>
  <si>
    <t xml:space="preserve">CATEGORY</t>
  </si>
  <si>
    <t xml:space="preserve">RECOMMENDED</t>
  </si>
  <si>
    <t xml:space="preserve">ALTERNATIVE</t>
  </si>
  <si>
    <t xml:space="preserve">YEAR 1 (AED)</t>
  </si>
  <si>
    <t xml:space="preserve">RATIONALE</t>
  </si>
  <si>
    <t xml:space="preserve">Video Calling</t>
  </si>
  <si>
    <t xml:space="preserve">Jitsi (self-hosted)</t>
  </si>
  <si>
    <t xml:space="preserve">UAE-approved WebRTC. $0.004/min. Jitsi free but TRA risk + ops burden</t>
  </si>
  <si>
    <t xml:space="preserve">Backend/DB</t>
  </si>
  <si>
    <t xml:space="preserve">Supabase (free→Pro)</t>
  </si>
  <si>
    <t xml:space="preserve">Pocketbase</t>
  </si>
  <si>
    <t xml:space="preserve">Free tier covers MVP. Pro at $25/mo when scaling. Auth + DB + realtime built-in</t>
  </si>
  <si>
    <t xml:space="preserve">Hosting (Frontend)</t>
  </si>
  <si>
    <t xml:space="preserve">Vercel</t>
  </si>
  <si>
    <t xml:space="preserve">Cloudflare Pages</t>
  </si>
  <si>
    <t xml:space="preserve">Free tier sufficient. Already deployed. Auto-deploy from GitHub</t>
  </si>
  <si>
    <t xml:space="preserve">Hosting (Backend)</t>
  </si>
  <si>
    <t xml:space="preserve">Supabase Cloud</t>
  </si>
  <si>
    <t xml:space="preserve">Hetzner VPS (€4.5/mo)</t>
  </si>
  <si>
    <t xml:space="preserve">Included in Supabase plan. Hetzner for Jitsi if needed later</t>
  </si>
  <si>
    <t xml:space="preserve">Payments</t>
  </si>
  <si>
    <t xml:space="preserve">PayTabs</t>
  </si>
  <si>
    <t xml:space="preserve">2.75% + AED 1/txn. No monthly fee. Better recurring billing API</t>
  </si>
  <si>
    <t xml:space="preserve">SMS/OTP</t>
  </si>
  <si>
    <t xml:space="preserve">Twilio Verify</t>
  </si>
  <si>
    <t xml:space="preserve">AWS SNS</t>
  </si>
  <si>
    <t xml:space="preserve">$0.05/verification. ~200 signups/mo × 12 = 2400 verifications</t>
  </si>
  <si>
    <t xml:space="preserve">Email</t>
  </si>
  <si>
    <t xml:space="preserve">Resend</t>
  </si>
  <si>
    <t xml:space="preserve">Mailgun</t>
  </si>
  <si>
    <t xml:space="preserve">Free tier: 3K emails/mo. Transactional only at MVP</t>
  </si>
  <si>
    <t xml:space="preserve">Push Notifications</t>
  </si>
  <si>
    <t xml:space="preserve">Firebase (FCM)</t>
  </si>
  <si>
    <t xml:space="preserve">OneSignal</t>
  </si>
  <si>
    <t xml:space="preserve">Free. Native web push + PWA support</t>
  </si>
  <si>
    <t xml:space="preserve">CDN / Assets</t>
  </si>
  <si>
    <t xml:space="preserve">Cloudflare R2</t>
  </si>
  <si>
    <t xml:space="preserve">AWS S3</t>
  </si>
  <si>
    <t xml:space="preserve">Free egress. 10GB free storage. Profile photos + assets</t>
  </si>
  <si>
    <t xml:space="preserve">Analytics</t>
  </si>
  <si>
    <t xml:space="preserve">Mixpanel</t>
  </si>
  <si>
    <t xml:space="preserve">PostHog (self-host)</t>
  </si>
  <si>
    <t xml:space="preserve">Free tier: 20M events/mo. Funnel + retention analysis</t>
  </si>
  <si>
    <t xml:space="preserve">Error Monitoring</t>
  </si>
  <si>
    <t xml:space="preserve">Sentry</t>
  </si>
  <si>
    <t xml:space="preserve">LogRocket</t>
  </si>
  <si>
    <t xml:space="preserve">Free tier: 5K events/mo. Critical for video call debugging</t>
  </si>
  <si>
    <t xml:space="preserve">Domain + SSL</t>
  </si>
  <si>
    <t xml:space="preserve">Cloudflare Registrar</t>
  </si>
  <si>
    <t xml:space="preserve">Namecheap</t>
  </si>
  <si>
    <t xml:space="preserve">~$12/yr domain + free SSL via Cloudflare</t>
  </si>
  <si>
    <t xml:space="preserve">AI Matching</t>
  </si>
  <si>
    <t xml:space="preserve">OpenAI API</t>
  </si>
  <si>
    <t xml:space="preserve">Claude API</t>
  </si>
  <si>
    <t xml:space="preserve">Compatibility scoring. ~$15/mo at low volume</t>
  </si>
  <si>
    <t xml:space="preserve">CI/CD</t>
  </si>
  <si>
    <t xml:space="preserve">GitHub Actions</t>
  </si>
  <si>
    <t xml:space="preserve">Vercel auto-deploy</t>
  </si>
  <si>
    <t xml:space="preserve">Free tier: 2000 min/mo. More than enough</t>
  </si>
  <si>
    <t xml:space="preserve">Monitoring</t>
  </si>
  <si>
    <t xml:space="preserve">UptimeRobot</t>
  </si>
  <si>
    <t xml:space="preserve">Better Uptime</t>
  </si>
  <si>
    <t xml:space="preserve">Free tier: 50 monitors, 5-min checks</t>
  </si>
  <si>
    <t xml:space="preserve">TOTAL YEAR 1 TECH COST</t>
  </si>
  <si>
    <t xml:space="preserve">Sum of all line items</t>
  </si>
  <si>
    <t xml:space="preserve">WEEK</t>
  </si>
  <si>
    <t xml:space="preserve">MILESTONE</t>
  </si>
  <si>
    <t xml:space="preserve">DELIVERABLES</t>
  </si>
  <si>
    <t xml:space="preserve">STATUS</t>
  </si>
  <si>
    <t xml:space="preserve">1-2</t>
  </si>
  <si>
    <t xml:space="preserve">Auth + Profiles</t>
  </si>
  <si>
    <t xml:space="preserve">Supabase auth, phone OTP, profile CRUD, photo upload to R2, basic matching algorithm</t>
  </si>
  <si>
    <t xml:space="preserve">Pending</t>
  </si>
  <si>
    <t xml:space="preserve">3-4</t>
  </si>
  <si>
    <t xml:space="preserve">Video Infrastructure</t>
  </si>
  <si>
    <t xml:space="preserve">Daily.co integration, 1-to-1 video rooms, connection quality monitoring, auto-reconnect</t>
  </si>
  <si>
    <t xml:space="preserve">5-6</t>
  </si>
  <si>
    <t xml:space="preserve">Matching Engine</t>
  </si>
  <si>
    <t xml:space="preserve">Swipe/discover flow (live version), match notifications, accept/decline flow, queue management</t>
  </si>
  <si>
    <t xml:space="preserve">7-8</t>
  </si>
  <si>
    <t xml:space="preserve">Group Sessions</t>
  </si>
  <si>
    <t xml:space="preserve">5×5 lobby system, round-robin pairing, timer management, session state machine</t>
  </si>
  <si>
    <t xml:space="preserve">9</t>
  </si>
  <si>
    <t xml:space="preserve">Tap Payments integration, subscription tiers, webhook handlers, receipt generation</t>
  </si>
  <si>
    <t xml:space="preserve">10</t>
  </si>
  <si>
    <t xml:space="preserve">PWA + Notifications</t>
  </si>
  <si>
    <t xml:space="preserve">Service worker, offline shell, push notifications via FCM, app-like install prompt</t>
  </si>
  <si>
    <t xml:space="preserve">11</t>
  </si>
  <si>
    <t xml:space="preserve">Admin + Analytics</t>
  </si>
  <si>
    <t xml:space="preserve">Admin dashboard, Mixpanel events, session metrics, user reports, content moderation tools</t>
  </si>
  <si>
    <t xml:space="preserve">12</t>
  </si>
  <si>
    <t xml:space="preserve">QA + Launch Prep</t>
  </si>
  <si>
    <t xml:space="preserve">Load testing (video), security audit, TRA compliance check, app store listings, soft launch</t>
  </si>
  <si>
    <t xml:space="preserve">TOTAL DEVELOPMENT COST</t>
  </si>
  <si>
    <t xml:space="preserve">AED 0 — Built entirely with Claude Code</t>
  </si>
  <si>
    <t xml:space="preserve">ESTIMATED TIMELINE</t>
  </si>
  <si>
    <t xml:space="preserve">12 weeks (part-time, evenings + weekends feasible)</t>
  </si>
  <si>
    <t xml:space="preserve">COST ITEM</t>
  </si>
  <si>
    <t xml:space="preserve">ONE-TIME (AED)</t>
  </si>
  <si>
    <t xml:space="preserve">MONTHLY (AED)</t>
  </si>
  <si>
    <t xml:space="preserve">── COMPANY FORMATION ──</t>
  </si>
  <si>
    <t xml:space="preserve">IFZA License</t>
  </si>
  <si>
    <t xml:space="preserve">Digital services license</t>
  </si>
  <si>
    <t xml:space="preserve">Visa (1 partner)</t>
  </si>
  <si>
    <t xml:space="preserve">Residence visa processing</t>
  </si>
  <si>
    <t xml:space="preserve">Flexi-desk (virtual office)</t>
  </si>
  <si>
    <t xml:space="preserve">Included in IFZA package</t>
  </si>
  <si>
    <t xml:space="preserve">Emirates ID + Medical</t>
  </si>
  <si>
    <t xml:space="preserve">Required for visa</t>
  </si>
  <si>
    <t xml:space="preserve">── LEGAL &amp; COMPLIANCE ──</t>
  </si>
  <si>
    <t xml:space="preserve">TRA Registration</t>
  </si>
  <si>
    <t xml:space="preserve">Telecom Regulatory Authority — VoIP app</t>
  </si>
  <si>
    <t xml:space="preserve">PDPL Compliance (legal review)</t>
  </si>
  <si>
    <t xml:space="preserve">Data protection assessment</t>
  </si>
  <si>
    <t xml:space="preserve">Terms &amp; Privacy Policy</t>
  </si>
  <si>
    <t xml:space="preserve">Lawyer-drafted, UAE-compliant</t>
  </si>
  <si>
    <t xml:space="preserve">Age Verification System</t>
  </si>
  <si>
    <t xml:space="preserve">Built into auth flow by Claude Code</t>
  </si>
  <si>
    <t xml:space="preserve">── TECH STACK ──</t>
  </si>
  <si>
    <t xml:space="preserve">Video (Daily.co)</t>
  </si>
  <si>
    <t xml:space="preserve">~$11/mo at low volume</t>
  </si>
  <si>
    <t xml:space="preserve">Backend (Supabase)</t>
  </si>
  <si>
    <t xml:space="preserve">Free tier covers MVP phase</t>
  </si>
  <si>
    <t xml:space="preserve">SMS/OTP (Twilio)</t>
  </si>
  <si>
    <t xml:space="preserve">~200 verifications/mo</t>
  </si>
  <si>
    <t xml:space="preserve">~$15 domain via Cloudflare</t>
  </si>
  <si>
    <t xml:space="preserve">AI Matching (OpenAI)</t>
  </si>
  <si>
    <t xml:space="preserve">GPT-4o-mini for compatibility</t>
  </si>
  <si>
    <t xml:space="preserve">All other tech</t>
  </si>
  <si>
    <t xml:space="preserve">Free tiers (Vercel, FCM, Sentry, etc.)</t>
  </si>
  <si>
    <t xml:space="preserve">── APP DISTRIBUTION ──</t>
  </si>
  <si>
    <t xml:space="preserve">Apple Developer Account</t>
  </si>
  <si>
    <t xml:space="preserve">$99/yr</t>
  </si>
  <si>
    <t xml:space="preserve">Google Play Developer</t>
  </si>
  <si>
    <t xml:space="preserve">$25 one-time</t>
  </si>
  <si>
    <t xml:space="preserve">Apple Commission (30%→15%)</t>
  </si>
  <si>
    <t xml:space="preserve">Deducted from revenue, not a cost line</t>
  </si>
  <si>
    <t xml:space="preserve">Google Commission (15%)</t>
  </si>
  <si>
    <t xml:space="preserve">PWA (Web — no commission)</t>
  </si>
  <si>
    <t xml:space="preserve">Primary launch channel — zero take rate</t>
  </si>
  <si>
    <t xml:space="preserve">── MARKETING (3-MONTH SOFT LAUNCH) ──</t>
  </si>
  <si>
    <t xml:space="preserve">Instagram/TikTok ads</t>
  </si>
  <si>
    <t xml:space="preserve">3 months</t>
  </si>
  <si>
    <t xml:space="preserve">Micro-influencers (Dubai)</t>
  </si>
  <si>
    <t xml:space="preserve">2-3 influencers/mo for 3 months</t>
  </si>
  <si>
    <t xml:space="preserve">Launch event / meetup</t>
  </si>
  <si>
    <t xml:space="preserve">One IRL event for credibility</t>
  </si>
  <si>
    <t xml:space="preserve">── OPERATIONAL ──</t>
  </si>
  <si>
    <t xml:space="preserve">Bank account maintenance</t>
  </si>
  <si>
    <t xml:space="preserve">IFZA business bank account</t>
  </si>
  <si>
    <t xml:space="preserve">Accounting / bookkeeping</t>
  </si>
  <si>
    <t xml:space="preserve">Outsourced, quarterly VAT filing</t>
  </si>
  <si>
    <t xml:space="preserve">Customer support tool</t>
  </si>
  <si>
    <t xml:space="preserve">Free tier (Crisp or Tawk.to)</t>
  </si>
  <si>
    <t xml:space="preserve">Misc / contingency</t>
  </si>
  <si>
    <t xml:space="preserve">Buffer for unexpected costs</t>
  </si>
  <si>
    <t xml:space="preserve">TOTAL ONE-TIME COSTS</t>
  </si>
  <si>
    <t xml:space="preserve">TOTAL MONTHLY COSTS</t>
  </si>
  <si>
    <t xml:space="preserve">TOTAL YEAR 1 ALL-IN</t>
  </si>
  <si>
    <t xml:space="preserve">MONTHLY EXPENSE</t>
  </si>
  <si>
    <t xml:space="preserve">AED/MONTH</t>
  </si>
  <si>
    <t xml:space="preserve">Video calling (Daily.co)</t>
  </si>
  <si>
    <t xml:space="preserve">Scales with usage — $0.004/min</t>
  </si>
  <si>
    <t xml:space="preserve">Free tier. $25/mo when &gt;50K rows</t>
  </si>
  <si>
    <t xml:space="preserve">GPT-4o-mini, ~$4.50/mo</t>
  </si>
  <si>
    <t xml:space="preserve">Hosting (Vercel + CF)</t>
  </si>
  <si>
    <t xml:space="preserve">Free tier</t>
  </si>
  <si>
    <t xml:space="preserve">Email (Resend)</t>
  </si>
  <si>
    <t xml:space="preserve">Free tier: 3K/mo</t>
  </si>
  <si>
    <t xml:space="preserve">Push (Firebase)</t>
  </si>
  <si>
    <t xml:space="preserve">Free</t>
  </si>
  <si>
    <t xml:space="preserve">CDN (Cloudflare R2)</t>
  </si>
  <si>
    <t xml:space="preserve">Free tier: 10GB</t>
  </si>
  <si>
    <t xml:space="preserve">Analytics (Mixpanel)</t>
  </si>
  <si>
    <t xml:space="preserve">Free tier: 20M events</t>
  </si>
  <si>
    <t xml:space="preserve">Error monitoring (Sentry)</t>
  </si>
  <si>
    <t xml:space="preserve">Bank account</t>
  </si>
  <si>
    <t xml:space="preserve">IFZA business bank</t>
  </si>
  <si>
    <t xml:space="preserve">Accounting</t>
  </si>
  <si>
    <t xml:space="preserve">Outsourced bookkeeping</t>
  </si>
  <si>
    <t xml:space="preserve">TOTAL MONTHLY BURN</t>
  </si>
  <si>
    <t xml:space="preserve">#</t>
  </si>
  <si>
    <t xml:space="preserve">TASK</t>
  </si>
  <si>
    <t xml:space="preserve">OWNER</t>
  </si>
  <si>
    <t xml:space="preserve">DEADLINE</t>
  </si>
  <si>
    <t xml:space="preserve">DEPENDENCY</t>
  </si>
  <si>
    <t xml:space="preserve">Register IFZA freezone company</t>
  </si>
  <si>
    <t xml:space="preserve">Jamal</t>
  </si>
  <si>
    <t xml:space="preserve">Week 1</t>
  </si>
  <si>
    <t xml:space="preserve">None</t>
  </si>
  <si>
    <t xml:space="preserve">Open business bank account</t>
  </si>
  <si>
    <t xml:space="preserve">Week 2</t>
  </si>
  <si>
    <t xml:space="preserve">#1 complete</t>
  </si>
  <si>
    <t xml:space="preserve">Register domain (pulseorbit.com)</t>
  </si>
  <si>
    <t xml:space="preserve">Claude Code</t>
  </si>
  <si>
    <t xml:space="preserve">Set up Supabase project</t>
  </si>
  <si>
    <t xml:space="preserve">Build auth flow (phone OTP)</t>
  </si>
  <si>
    <t xml:space="preserve">Week 1-2</t>
  </si>
  <si>
    <t xml:space="preserve">#4</t>
  </si>
  <si>
    <t xml:space="preserve">Build profile system + photo upload</t>
  </si>
  <si>
    <t xml:space="preserve">#5</t>
  </si>
  <si>
    <t xml:space="preserve">Integrate Daily.co video rooms</t>
  </si>
  <si>
    <t xml:space="preserve">Week 3-4</t>
  </si>
  <si>
    <t xml:space="preserve">Build matching/swipe engine</t>
  </si>
  <si>
    <t xml:space="preserve">Week 5-6</t>
  </si>
  <si>
    <t xml:space="preserve">#6</t>
  </si>
  <si>
    <t xml:space="preserve">Build group 5×5 session system</t>
  </si>
  <si>
    <t xml:space="preserve">Week 7-8</t>
  </si>
  <si>
    <t xml:space="preserve">#7, #8</t>
  </si>
  <si>
    <t xml:space="preserve">Integrate Tap Payments</t>
  </si>
  <si>
    <t xml:space="preserve">Week 9</t>
  </si>
  <si>
    <t xml:space="preserve">#2 (bank)</t>
  </si>
  <si>
    <t xml:space="preserve">Build PWA + install prompt</t>
  </si>
  <si>
    <t xml:space="preserve">Week 10</t>
  </si>
  <si>
    <t xml:space="preserve">#5-9</t>
  </si>
  <si>
    <t xml:space="preserve">Set up Firebase push notifications</t>
  </si>
  <si>
    <t xml:space="preserve">#11</t>
  </si>
  <si>
    <t xml:space="preserve">TRA registration application</t>
  </si>
  <si>
    <t xml:space="preserve">Week 6</t>
  </si>
  <si>
    <t xml:space="preserve">#1</t>
  </si>
  <si>
    <t xml:space="preserve">PDPL compliance review</t>
  </si>
  <si>
    <t xml:space="preserve">Lawyer</t>
  </si>
  <si>
    <t xml:space="preserve">Week 8</t>
  </si>
  <si>
    <t xml:space="preserve">#6 (data flows defined)</t>
  </si>
  <si>
    <t xml:space="preserve">Draft Terms of Service</t>
  </si>
  <si>
    <t xml:space="preserve">#14</t>
  </si>
  <si>
    <t xml:space="preserve">Age verification (Emirates ID / DOB)</t>
  </si>
  <si>
    <t xml:space="preserve">Week 5</t>
  </si>
  <si>
    <t xml:space="preserve">Content moderation system</t>
  </si>
  <si>
    <t xml:space="preserve">Week 11</t>
  </si>
  <si>
    <t xml:space="preserve">#7</t>
  </si>
  <si>
    <t xml:space="preserve">Admin dashboard</t>
  </si>
  <si>
    <t xml:space="preserve">#4-9</t>
  </si>
  <si>
    <t xml:space="preserve">Mixpanel analytics integration</t>
  </si>
  <si>
    <t xml:space="preserve">Sentry error monitoring</t>
  </si>
  <si>
    <t xml:space="preserve">Load test video infrastructure</t>
  </si>
  <si>
    <t xml:space="preserve">Week 12</t>
  </si>
  <si>
    <t xml:space="preserve">#7, #9</t>
  </si>
  <si>
    <t xml:space="preserve">Security audit (OWASP top 10)</t>
  </si>
  <si>
    <t xml:space="preserve">All dev complete</t>
  </si>
  <si>
    <t xml:space="preserve">Apple Developer Account signup</t>
  </si>
  <si>
    <t xml:space="preserve">Google Play Developer signup</t>
  </si>
  <si>
    <t xml:space="preserve">PWA listing on app directories</t>
  </si>
  <si>
    <t xml:space="preserve">Soft launch — invite 50 beta users</t>
  </si>
  <si>
    <t xml:space="preserve">All above</t>
  </si>
  <si>
    <t xml:space="preserve">Instagram/TikTok ad campaigns</t>
  </si>
  <si>
    <t xml:space="preserve">Week 13+</t>
  </si>
  <si>
    <t xml:space="preserve">#26 (feedback)</t>
  </si>
  <si>
    <t xml:space="preserve">Micro-influencer partnerships</t>
  </si>
  <si>
    <t xml:space="preserve">#26</t>
  </si>
  <si>
    <t xml:space="preserve">Native iOS app (Capacitor wrap)</t>
  </si>
  <si>
    <t xml:space="preserve">Week 14+</t>
  </si>
  <si>
    <t xml:space="preserve">#25 validated</t>
  </si>
  <si>
    <t xml:space="preserve">Native Android app (Capacitor wrap)</t>
  </si>
  <si>
    <t xml:space="preserve">App Store submission</t>
  </si>
  <si>
    <t xml:space="preserve">Week 16+</t>
  </si>
  <si>
    <t xml:space="preserve">#29, #23</t>
  </si>
  <si>
    <t xml:space="preserve">Play Store submission</t>
  </si>
  <si>
    <t xml:space="preserve">#30, #24</t>
  </si>
  <si>
    <t xml:space="preserve">FACTOR</t>
  </si>
  <si>
    <t xml:space="preserve">UAE (DUBAI)</t>
  </si>
  <si>
    <t xml:space="preserve">SAUDI ARABIA</t>
  </si>
  <si>
    <t xml:space="preserve">SINGAPORE</t>
  </si>
  <si>
    <t xml:space="preserve">UK</t>
  </si>
  <si>
    <t xml:space="preserve">TURKEY</t>
  </si>
  <si>
    <t xml:space="preserve">15%</t>
  </si>
  <si>
    <t xml:space="preserve">17%</t>
  </si>
  <si>
    <t xml:space="preserve">25%</t>
  </si>
  <si>
    <t xml:space="preserve">Income Tax</t>
  </si>
  <si>
    <t xml:space="preserve">0-22%</t>
  </si>
  <si>
    <t xml:space="preserve">20-45%</t>
  </si>
  <si>
    <t xml:space="preserve">15-40%</t>
  </si>
  <si>
    <t xml:space="preserve">Company Setup Cost</t>
  </si>
  <si>
    <t xml:space="preserve">~$4K</t>
  </si>
  <si>
    <t xml:space="preserve">~$3K</t>
  </si>
  <si>
    <t xml:space="preserve">~$200</t>
  </si>
  <si>
    <t xml:space="preserve">~$500</t>
  </si>
  <si>
    <t xml:space="preserve">Company Setup Time</t>
  </si>
  <si>
    <t xml:space="preserve">2 weeks</t>
  </si>
  <si>
    <t xml:space="preserve">1-2 weeks</t>
  </si>
  <si>
    <t xml:space="preserve">1-2 days</t>
  </si>
  <si>
    <t xml:space="preserve">1 day</t>
  </si>
  <si>
    <t xml:space="preserve">1 week</t>
  </si>
  <si>
    <t xml:space="preserve">Target Population</t>
  </si>
  <si>
    <t xml:space="preserve">10M</t>
  </si>
  <si>
    <t xml:space="preserve">35M</t>
  </si>
  <si>
    <t xml:space="preserve">5.8M</t>
  </si>
  <si>
    <t xml:space="preserve">67M</t>
  </si>
  <si>
    <t xml:space="preserve">85M</t>
  </si>
  <si>
    <t xml:space="preserve">Expat % (dating TAM)</t>
  </si>
  <si>
    <t xml:space="preserve">85%</t>
  </si>
  <si>
    <t xml:space="preserve">38%</t>
  </si>
  <si>
    <t xml:space="preserve">29%</t>
  </si>
  <si>
    <t xml:space="preserve">N/A</t>
  </si>
  <si>
    <t xml:space="preserve">Dating App Competition</t>
  </si>
  <si>
    <t xml:space="preserve">Medium</t>
  </si>
  <si>
    <t xml:space="preserve">Low</t>
  </si>
  <si>
    <t xml:space="preserve">Very High</t>
  </si>
  <si>
    <t xml:space="preserve">High</t>
  </si>
  <si>
    <t xml:space="preserve">Willingness to Pay</t>
  </si>
  <si>
    <t xml:space="preserve">Regulatory Risk</t>
  </si>
  <si>
    <t xml:space="preserve">VoIP Regulation</t>
  </si>
  <si>
    <t xml:space="preserve">Requires TRA</t>
  </si>
  <si>
    <t xml:space="preserve">Restricted</t>
  </si>
  <si>
    <t xml:space="preserve">Open</t>
  </si>
  <si>
    <t xml:space="preserve">Payment Infra</t>
  </si>
  <si>
    <t xml:space="preserve">Strong</t>
  </si>
  <si>
    <t xml:space="preserve">Moderate</t>
  </si>
  <si>
    <t xml:space="preserve">English Proficiency</t>
  </si>
  <si>
    <t xml:space="preserve">Native</t>
  </si>
  <si>
    <t xml:space="preserve">Marketing Cost (CPM)</t>
  </si>
  <si>
    <t xml:space="preserve">VERDICT</t>
  </si>
  <si>
    <t xml:space="preserve">LAUNCH HERE</t>
  </si>
  <si>
    <t xml:space="preserve">Market #2</t>
  </si>
  <si>
    <t xml:space="preserve">Skip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</si>
</sst>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sz val="11"/>
      <color rgb="FF4DA6FF"/>
      <name val="Arial"/>
      <family val="0"/>
      <charset val="1"/>
    </font>
    <font>
      <sz val="11"/>
      <color rgb="FF1B998B"/>
      <name val="Arial"/>
      <family val="0"/>
      <charset val="1"/>
    </font>
    <font>
      <b val="true"/>
      <sz val="11"/>
      <color rgb="FF2DD4BF"/>
      <name val="Arial"/>
      <family val="0"/>
      <charset val="1"/>
    </font>
    <font>
      <b val="true"/>
      <sz val="11"/>
      <color rgb="FFE040A0"/>
      <name val="Arial"/>
      <family val="0"/>
      <charset val="1"/>
    </font>
    <font>
      <sz val="10"/>
      <name val="Arial"/>
      <family val="2"/>
    </font>
    <font>
      <b val="true"/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6B35"/>
      <name val="Arial"/>
      <family val="0"/>
      <charset val="1"/>
    </font>
    <font>
      <b val="true"/>
      <sz val="12"/>
      <color rgb="FF2DD4B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040A0"/>
        <bgColor rgb="FF993366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16213E"/>
      </patternFill>
    </fill>
    <fill>
      <patternFill patternType="solid">
        <fgColor rgb="FF1A1A2E"/>
        <bgColor rgb="FF16213E"/>
      </patternFill>
    </fill>
    <fill>
      <patternFill patternType="solid">
        <fgColor rgb="FF2DD4BF"/>
        <bgColor rgb="FF00CCFF"/>
      </patternFill>
    </fill>
    <fill>
      <patternFill patternType="solid">
        <fgColor rgb="FF1B998B"/>
        <bgColor rgb="FF008080"/>
      </patternFill>
    </fill>
    <fill>
      <patternFill patternType="solid">
        <fgColor rgb="FFFFD700"/>
        <bgColor rgb="FFFFFF00"/>
      </patternFill>
    </fill>
    <fill>
      <patternFill patternType="solid">
        <fgColor rgb="FF0D4F3C"/>
        <bgColor rgb="FF0F346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4DA6FF"/>
      <rgbColor rgb="FFE04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DD4BF"/>
      <rgbColor rgb="FF99CC00"/>
      <rgbColor rgb="FFFFD700"/>
      <rgbColor rgb="FFFF9900"/>
      <rgbColor rgb="FFFF6B35"/>
      <rgbColor rgb="FF666699"/>
      <rgbColor rgb="FF969696"/>
      <rgbColor rgb="FF0F3460"/>
      <rgbColor rgb="FF1B998B"/>
      <rgbColor rgb="FF16213E"/>
      <rgbColor rgb="FF1A1A2E"/>
      <rgbColor rgb="FF993300"/>
      <rgbColor rgb="FF993366"/>
      <rgbColor rgb="FF0D4F3C"/>
      <rgbColor rgb="FF3333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4" min="3" style="0" width="20"/>
    <col collapsed="false" customWidth="true" hidden="false" outlineLevel="0" max="5" min="5" style="0" width="25"/>
  </cols>
  <sheetData>
    <row r="1" customFormat="false" ht="17.35" hidden="false" customHeight="true" outlineLevel="0" collapsed="false">
      <c r="A1" s="1"/>
      <c r="B1" s="1" t="s">
        <v>0</v>
      </c>
      <c r="C1" s="1"/>
      <c r="D1" s="1"/>
      <c r="E1" s="1"/>
    </row>
    <row r="2" customFormat="false" ht="15" hidden="false" customHeight="true" outlineLevel="0" collapsed="false">
      <c r="A2" s="2"/>
      <c r="B2" s="2" t="s">
        <v>1</v>
      </c>
      <c r="C2" s="2"/>
      <c r="D2" s="2"/>
      <c r="E2" s="2"/>
    </row>
    <row r="3" customFormat="false" ht="15" hidden="false" customHeight="false" outlineLevel="0" collapsed="false">
      <c r="A3" s="3"/>
      <c r="B3" s="3"/>
      <c r="C3" s="3"/>
      <c r="D3" s="3"/>
      <c r="E3" s="3"/>
    </row>
    <row r="4" customFormat="false" ht="15" hidden="false" customHeight="false" outlineLevel="0" collapsed="false">
      <c r="A4" s="4"/>
      <c r="B4" s="4" t="s">
        <v>2</v>
      </c>
      <c r="C4" s="4" t="s">
        <v>3</v>
      </c>
      <c r="D4" s="4" t="s">
        <v>4</v>
      </c>
      <c r="E4" s="4" t="s">
        <v>5</v>
      </c>
    </row>
    <row r="5" customFormat="false" ht="26.85" hidden="false" customHeight="false" outlineLevel="0" collapsed="false">
      <c r="A5" s="5"/>
      <c r="B5" s="6" t="s">
        <v>6</v>
      </c>
      <c r="C5" s="7" t="n">
        <v>0</v>
      </c>
      <c r="D5" s="5" t="s">
        <v>7</v>
      </c>
      <c r="E5" s="5" t="s">
        <v>8</v>
      </c>
    </row>
    <row r="6" customFormat="false" ht="26.85" hidden="false" customHeight="false" outlineLevel="0" collapsed="false">
      <c r="A6" s="8"/>
      <c r="B6" s="9" t="s">
        <v>9</v>
      </c>
      <c r="C6" s="10" t="n">
        <v>14000</v>
      </c>
      <c r="D6" s="8" t="s">
        <v>7</v>
      </c>
      <c r="E6" s="8" t="s">
        <v>10</v>
      </c>
    </row>
    <row r="7" customFormat="false" ht="15" hidden="false" customHeight="false" outlineLevel="0" collapsed="false">
      <c r="A7" s="5"/>
      <c r="B7" s="6" t="s">
        <v>11</v>
      </c>
      <c r="C7" s="11" t="n">
        <f aca="false">'Tech Stack'!E18</f>
        <v>2150</v>
      </c>
      <c r="D7" s="5" t="s">
        <v>7</v>
      </c>
      <c r="E7" s="5" t="n">
        <f aca="false">SUM(C5:C6)</f>
        <v>14000</v>
      </c>
    </row>
    <row r="8" customFormat="false" ht="26.85" hidden="false" customHeight="false" outlineLevel="0" collapsed="false">
      <c r="A8" s="8"/>
      <c r="B8" s="9" t="s">
        <v>12</v>
      </c>
      <c r="C8" s="12" t="n">
        <f aca="false">ROUND(100*74*0.245*12,0)</f>
        <v>21756</v>
      </c>
      <c r="D8" s="8" t="s">
        <v>7</v>
      </c>
      <c r="E8" s="8" t="s">
        <v>13</v>
      </c>
    </row>
    <row r="9" customFormat="false" ht="26.85" hidden="false" customHeight="false" outlineLevel="0" collapsed="false">
      <c r="A9" s="5"/>
      <c r="B9" s="6" t="s">
        <v>14</v>
      </c>
      <c r="C9" s="7" t="n">
        <v>15000</v>
      </c>
      <c r="D9" s="5" t="s">
        <v>7</v>
      </c>
      <c r="E9" s="5" t="s">
        <v>15</v>
      </c>
    </row>
    <row r="10" customFormat="false" ht="26.85" hidden="false" customHeight="false" outlineLevel="0" collapsed="false">
      <c r="A10" s="8"/>
      <c r="B10" s="9" t="s">
        <v>16</v>
      </c>
      <c r="C10" s="10" t="n">
        <v>8000</v>
      </c>
      <c r="D10" s="8" t="s">
        <v>7</v>
      </c>
      <c r="E10" s="8" t="s">
        <v>17</v>
      </c>
    </row>
    <row r="11" customFormat="false" ht="15" hidden="false" customHeight="false" outlineLevel="0" collapsed="false">
      <c r="A11" s="5"/>
      <c r="B11" s="6" t="s">
        <v>18</v>
      </c>
      <c r="C11" s="13" t="n">
        <f aca="false">C5+C6+C7+C9+C10</f>
        <v>39150</v>
      </c>
      <c r="D11" s="5" t="s">
        <v>7</v>
      </c>
      <c r="E11" s="5" t="s">
        <v>19</v>
      </c>
    </row>
    <row r="12" customFormat="false" ht="15" hidden="false" customHeight="false" outlineLevel="0" collapsed="false">
      <c r="A12" s="8"/>
      <c r="B12" s="9" t="s">
        <v>20</v>
      </c>
      <c r="C12" s="14" t="n">
        <f aca="false">'Monthly Burn'!C14</f>
        <v>642</v>
      </c>
      <c r="D12" s="8" t="s">
        <v>21</v>
      </c>
      <c r="E12" s="8" t="s">
        <v>22</v>
      </c>
    </row>
    <row r="13" customFormat="false" ht="15" hidden="false" customHeight="false" outlineLevel="0" collapsed="false">
      <c r="A13" s="3"/>
      <c r="B13" s="3"/>
      <c r="C13" s="3"/>
      <c r="D13" s="3"/>
      <c r="E13" s="3"/>
    </row>
    <row r="14" customFormat="false" ht="15" hidden="false" customHeight="true" outlineLevel="0" collapsed="false">
      <c r="A14" s="4"/>
      <c r="B14" s="4" t="s">
        <v>23</v>
      </c>
      <c r="C14" s="4"/>
      <c r="D14" s="4"/>
      <c r="E14" s="4"/>
    </row>
    <row r="15" customFormat="false" ht="15" hidden="false" customHeight="false" outlineLevel="0" collapsed="false">
      <c r="A15" s="5"/>
      <c r="B15" s="5" t="s">
        <v>24</v>
      </c>
      <c r="C15" s="7" t="n">
        <v>49</v>
      </c>
      <c r="D15" s="5" t="s">
        <v>21</v>
      </c>
      <c r="E15" s="5" t="s">
        <v>25</v>
      </c>
    </row>
    <row r="16" customFormat="false" ht="26.85" hidden="false" customHeight="false" outlineLevel="0" collapsed="false">
      <c r="A16" s="8"/>
      <c r="B16" s="8" t="s">
        <v>26</v>
      </c>
      <c r="C16" s="10" t="n">
        <v>99</v>
      </c>
      <c r="D16" s="8" t="s">
        <v>21</v>
      </c>
      <c r="E16" s="8" t="s">
        <v>27</v>
      </c>
    </row>
    <row r="17" customFormat="false" ht="26.85" hidden="false" customHeight="false" outlineLevel="0" collapsed="false">
      <c r="A17" s="5"/>
      <c r="B17" s="5" t="s">
        <v>28</v>
      </c>
      <c r="C17" s="15" t="n">
        <f aca="false">CEILING(C12/(C15*(1-0.0275)-1),1)</f>
        <v>14</v>
      </c>
      <c r="D17" s="5" t="s">
        <v>29</v>
      </c>
      <c r="E17" s="5" t="s">
        <v>30</v>
      </c>
    </row>
    <row r="18" customFormat="false" ht="26.85" hidden="false" customHeight="false" outlineLevel="0" collapsed="false">
      <c r="A18" s="8"/>
      <c r="B18" s="8" t="s">
        <v>31</v>
      </c>
      <c r="C18" s="16" t="n">
        <f aca="false">CEILING(C12/(C16*(1-0.0275)-1),1)</f>
        <v>7</v>
      </c>
      <c r="D18" s="8" t="s">
        <v>29</v>
      </c>
      <c r="E18" s="8" t="s">
        <v>30</v>
      </c>
    </row>
    <row r="19" customFormat="false" ht="15" hidden="false" customHeight="false" outlineLevel="0" collapsed="false">
      <c r="A19" s="3"/>
      <c r="B19" s="3"/>
      <c r="C19" s="3"/>
      <c r="D19" s="3"/>
      <c r="E19" s="3"/>
    </row>
    <row r="20" customFormat="false" ht="15" hidden="false" customHeight="true" outlineLevel="0" collapsed="false">
      <c r="A20" s="17"/>
      <c r="B20" s="17" t="s">
        <v>32</v>
      </c>
      <c r="C20" s="17"/>
      <c r="D20" s="17"/>
      <c r="E20" s="17"/>
    </row>
    <row r="21" customFormat="false" ht="26.85" hidden="false" customHeight="false" outlineLevel="0" collapsed="false">
      <c r="A21" s="5"/>
      <c r="B21" s="6" t="s">
        <v>33</v>
      </c>
      <c r="C21" s="5" t="s">
        <v>34</v>
      </c>
      <c r="D21" s="5"/>
      <c r="E21" s="5" t="s">
        <v>35</v>
      </c>
    </row>
    <row r="22" customFormat="false" ht="15" hidden="false" customHeight="false" outlineLevel="0" collapsed="false">
      <c r="A22" s="8"/>
      <c r="B22" s="9" t="s">
        <v>36</v>
      </c>
      <c r="C22" s="8" t="s">
        <v>37</v>
      </c>
      <c r="D22" s="8"/>
      <c r="E22" s="8"/>
    </row>
    <row r="23" customFormat="false" ht="15" hidden="false" customHeight="false" outlineLevel="0" collapsed="false">
      <c r="A23" s="5"/>
      <c r="B23" s="6" t="s">
        <v>38</v>
      </c>
      <c r="C23" s="5" t="s">
        <v>39</v>
      </c>
      <c r="D23" s="5"/>
      <c r="E23" s="5" t="s">
        <v>40</v>
      </c>
    </row>
    <row r="24" customFormat="false" ht="15" hidden="false" customHeight="false" outlineLevel="0" collapsed="false">
      <c r="A24" s="8"/>
      <c r="B24" s="9" t="s">
        <v>41</v>
      </c>
      <c r="C24" s="8" t="s">
        <v>42</v>
      </c>
      <c r="D24" s="8"/>
      <c r="E24" s="8" t="s">
        <v>43</v>
      </c>
    </row>
    <row r="25" customFormat="false" ht="26.85" hidden="false" customHeight="false" outlineLevel="0" collapsed="false">
      <c r="A25" s="5"/>
      <c r="B25" s="6" t="s">
        <v>44</v>
      </c>
      <c r="C25" s="5" t="s">
        <v>45</v>
      </c>
      <c r="D25" s="5"/>
      <c r="E25" s="5" t="s">
        <v>46</v>
      </c>
    </row>
    <row r="26" customFormat="false" ht="26.85" hidden="false" customHeight="false" outlineLevel="0" collapsed="false">
      <c r="A26" s="8"/>
      <c r="B26" s="9" t="s">
        <v>47</v>
      </c>
      <c r="C26" s="8" t="s">
        <v>48</v>
      </c>
      <c r="D26" s="8"/>
      <c r="E26" s="8" t="s">
        <v>49</v>
      </c>
    </row>
    <row r="27" customFormat="false" ht="15" hidden="false" customHeight="false" outlineLevel="0" collapsed="false">
      <c r="A27" s="3"/>
      <c r="B27" s="3" t="s">
        <v>50</v>
      </c>
      <c r="C27" s="3" t="s">
        <v>51</v>
      </c>
      <c r="D27" s="3"/>
      <c r="E27" s="3" t="s">
        <v>52</v>
      </c>
    </row>
  </sheetData>
  <mergeCells count="4">
    <mergeCell ref="B1:E1"/>
    <mergeCell ref="B2:E2"/>
    <mergeCell ref="B14:E14"/>
    <mergeCell ref="B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4" min="3" style="0" width="28"/>
    <col collapsed="false" customWidth="true" hidden="false" outlineLevel="0" max="5" min="5" style="0" width="18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4"/>
      <c r="B1" s="4" t="s">
        <v>53</v>
      </c>
      <c r="C1" s="4" t="s">
        <v>54</v>
      </c>
      <c r="D1" s="4" t="s">
        <v>55</v>
      </c>
      <c r="E1" s="4" t="s">
        <v>56</v>
      </c>
      <c r="F1" s="4" t="s">
        <v>57</v>
      </c>
    </row>
    <row r="2" customFormat="false" ht="39.55" hidden="false" customHeight="false" outlineLevel="0" collapsed="false">
      <c r="A2" s="8"/>
      <c r="B2" s="9" t="s">
        <v>58</v>
      </c>
      <c r="C2" s="8" t="s">
        <v>45</v>
      </c>
      <c r="D2" s="8" t="s">
        <v>59</v>
      </c>
      <c r="E2" s="18" t="n">
        <v>500</v>
      </c>
      <c r="F2" s="8" t="s">
        <v>60</v>
      </c>
    </row>
    <row r="3" customFormat="false" ht="39.55" hidden="false" customHeight="false" outlineLevel="0" collapsed="false">
      <c r="A3" s="5"/>
      <c r="B3" s="6" t="s">
        <v>61</v>
      </c>
      <c r="C3" s="5" t="s">
        <v>62</v>
      </c>
      <c r="D3" s="5" t="s">
        <v>63</v>
      </c>
      <c r="E3" s="19" t="n">
        <v>900</v>
      </c>
      <c r="F3" s="5" t="s">
        <v>64</v>
      </c>
    </row>
    <row r="4" customFormat="false" ht="39.55" hidden="false" customHeight="false" outlineLevel="0" collapsed="false">
      <c r="A4" s="8"/>
      <c r="B4" s="9" t="s">
        <v>65</v>
      </c>
      <c r="C4" s="8" t="s">
        <v>66</v>
      </c>
      <c r="D4" s="8" t="s">
        <v>67</v>
      </c>
      <c r="E4" s="18" t="n">
        <v>0</v>
      </c>
      <c r="F4" s="8" t="s">
        <v>68</v>
      </c>
    </row>
    <row r="5" customFormat="false" ht="26.85" hidden="false" customHeight="false" outlineLevel="0" collapsed="false">
      <c r="A5" s="5"/>
      <c r="B5" s="6" t="s">
        <v>69</v>
      </c>
      <c r="C5" s="5" t="s">
        <v>70</v>
      </c>
      <c r="D5" s="5" t="s">
        <v>71</v>
      </c>
      <c r="E5" s="19" t="n">
        <v>0</v>
      </c>
      <c r="F5" s="5" t="s">
        <v>72</v>
      </c>
    </row>
    <row r="6" customFormat="false" ht="26.85" hidden="false" customHeight="false" outlineLevel="0" collapsed="false">
      <c r="A6" s="8"/>
      <c r="B6" s="9" t="s">
        <v>73</v>
      </c>
      <c r="C6" s="8" t="s">
        <v>42</v>
      </c>
      <c r="D6" s="8" t="s">
        <v>74</v>
      </c>
      <c r="E6" s="18" t="n">
        <v>0</v>
      </c>
      <c r="F6" s="8" t="s">
        <v>75</v>
      </c>
    </row>
    <row r="7" customFormat="false" ht="39.55" hidden="false" customHeight="false" outlineLevel="0" collapsed="false">
      <c r="A7" s="5"/>
      <c r="B7" s="6" t="s">
        <v>76</v>
      </c>
      <c r="C7" s="5" t="s">
        <v>77</v>
      </c>
      <c r="D7" s="5" t="s">
        <v>78</v>
      </c>
      <c r="E7" s="19" t="n">
        <v>400</v>
      </c>
      <c r="F7" s="5" t="s">
        <v>79</v>
      </c>
    </row>
    <row r="8" customFormat="false" ht="26.85" hidden="false" customHeight="false" outlineLevel="0" collapsed="false">
      <c r="A8" s="8"/>
      <c r="B8" s="9" t="s">
        <v>80</v>
      </c>
      <c r="C8" s="8" t="s">
        <v>81</v>
      </c>
      <c r="D8" s="8" t="s">
        <v>82</v>
      </c>
      <c r="E8" s="18" t="n">
        <v>0</v>
      </c>
      <c r="F8" s="8" t="s">
        <v>83</v>
      </c>
    </row>
    <row r="9" customFormat="false" ht="26.85" hidden="false" customHeight="false" outlineLevel="0" collapsed="false">
      <c r="A9" s="5"/>
      <c r="B9" s="6" t="s">
        <v>84</v>
      </c>
      <c r="C9" s="5" t="s">
        <v>85</v>
      </c>
      <c r="D9" s="5" t="s">
        <v>86</v>
      </c>
      <c r="E9" s="19" t="n">
        <v>0</v>
      </c>
      <c r="F9" s="5" t="s">
        <v>87</v>
      </c>
    </row>
    <row r="10" customFormat="false" ht="26.85" hidden="false" customHeight="false" outlineLevel="0" collapsed="false">
      <c r="A10" s="8"/>
      <c r="B10" s="9" t="s">
        <v>88</v>
      </c>
      <c r="C10" s="8" t="s">
        <v>89</v>
      </c>
      <c r="D10" s="8" t="s">
        <v>90</v>
      </c>
      <c r="E10" s="18" t="n">
        <v>0</v>
      </c>
      <c r="F10" s="8" t="s">
        <v>91</v>
      </c>
    </row>
    <row r="11" customFormat="false" ht="26.85" hidden="false" customHeight="false" outlineLevel="0" collapsed="false">
      <c r="A11" s="5"/>
      <c r="B11" s="6" t="s">
        <v>92</v>
      </c>
      <c r="C11" s="5" t="s">
        <v>93</v>
      </c>
      <c r="D11" s="5" t="s">
        <v>94</v>
      </c>
      <c r="E11" s="19" t="n">
        <v>0</v>
      </c>
      <c r="F11" s="5" t="s">
        <v>95</v>
      </c>
    </row>
    <row r="12" customFormat="false" ht="26.85" hidden="false" customHeight="false" outlineLevel="0" collapsed="false">
      <c r="A12" s="8"/>
      <c r="B12" s="9" t="s">
        <v>96</v>
      </c>
      <c r="C12" s="8" t="s">
        <v>97</v>
      </c>
      <c r="D12" s="8" t="s">
        <v>98</v>
      </c>
      <c r="E12" s="18" t="n">
        <v>0</v>
      </c>
      <c r="F12" s="8" t="s">
        <v>99</v>
      </c>
    </row>
    <row r="13" customFormat="false" ht="26.85" hidden="false" customHeight="false" outlineLevel="0" collapsed="false">
      <c r="A13" s="5"/>
      <c r="B13" s="6" t="s">
        <v>100</v>
      </c>
      <c r="C13" s="5" t="s">
        <v>101</v>
      </c>
      <c r="D13" s="5" t="s">
        <v>102</v>
      </c>
      <c r="E13" s="19" t="n">
        <v>150</v>
      </c>
      <c r="F13" s="5" t="s">
        <v>103</v>
      </c>
    </row>
    <row r="14" customFormat="false" ht="26.85" hidden="false" customHeight="false" outlineLevel="0" collapsed="false">
      <c r="A14" s="8"/>
      <c r="B14" s="9" t="s">
        <v>104</v>
      </c>
      <c r="C14" s="8" t="s">
        <v>105</v>
      </c>
      <c r="D14" s="8" t="s">
        <v>106</v>
      </c>
      <c r="E14" s="18" t="n">
        <v>200</v>
      </c>
      <c r="F14" s="8" t="s">
        <v>107</v>
      </c>
    </row>
    <row r="15" customFormat="false" ht="26.85" hidden="false" customHeight="false" outlineLevel="0" collapsed="false">
      <c r="A15" s="5"/>
      <c r="B15" s="6" t="s">
        <v>108</v>
      </c>
      <c r="C15" s="5" t="s">
        <v>109</v>
      </c>
      <c r="D15" s="5" t="s">
        <v>110</v>
      </c>
      <c r="E15" s="19" t="n">
        <v>0</v>
      </c>
      <c r="F15" s="5" t="s">
        <v>111</v>
      </c>
    </row>
    <row r="16" customFormat="false" ht="26.85" hidden="false" customHeight="false" outlineLevel="0" collapsed="false">
      <c r="A16" s="8"/>
      <c r="B16" s="9" t="s">
        <v>112</v>
      </c>
      <c r="C16" s="8" t="s">
        <v>113</v>
      </c>
      <c r="D16" s="8" t="s">
        <v>114</v>
      </c>
      <c r="E16" s="18" t="n">
        <v>0</v>
      </c>
      <c r="F16" s="8" t="s">
        <v>115</v>
      </c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</row>
    <row r="18" customFormat="false" ht="26.85" hidden="false" customHeight="false" outlineLevel="0" collapsed="false">
      <c r="A18" s="20"/>
      <c r="B18" s="20" t="s">
        <v>116</v>
      </c>
      <c r="C18" s="20"/>
      <c r="D18" s="20"/>
      <c r="E18" s="21" t="n">
        <f aca="false">SUM(E2:E16)</f>
        <v>2150</v>
      </c>
      <c r="F18" s="20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45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4"/>
      <c r="B1" s="4" t="s">
        <v>118</v>
      </c>
      <c r="C1" s="4" t="s">
        <v>119</v>
      </c>
      <c r="D1" s="4" t="s">
        <v>120</v>
      </c>
      <c r="E1" s="4" t="s">
        <v>121</v>
      </c>
    </row>
    <row r="2" customFormat="false" ht="26.85" hidden="false" customHeight="false" outlineLevel="0" collapsed="false">
      <c r="A2" s="8"/>
      <c r="B2" s="22" t="s">
        <v>122</v>
      </c>
      <c r="C2" s="8" t="s">
        <v>123</v>
      </c>
      <c r="D2" s="8" t="s">
        <v>124</v>
      </c>
      <c r="E2" s="8" t="s">
        <v>125</v>
      </c>
    </row>
    <row r="3" customFormat="false" ht="26.85" hidden="false" customHeight="false" outlineLevel="0" collapsed="false">
      <c r="A3" s="5"/>
      <c r="B3" s="23" t="s">
        <v>126</v>
      </c>
      <c r="C3" s="5" t="s">
        <v>127</v>
      </c>
      <c r="D3" s="5" t="s">
        <v>128</v>
      </c>
      <c r="E3" s="5" t="s">
        <v>125</v>
      </c>
    </row>
    <row r="4" customFormat="false" ht="39.55" hidden="false" customHeight="false" outlineLevel="0" collapsed="false">
      <c r="A4" s="8"/>
      <c r="B4" s="22" t="s">
        <v>129</v>
      </c>
      <c r="C4" s="8" t="s">
        <v>130</v>
      </c>
      <c r="D4" s="8" t="s">
        <v>131</v>
      </c>
      <c r="E4" s="8" t="s">
        <v>125</v>
      </c>
    </row>
    <row r="5" customFormat="false" ht="26.85" hidden="false" customHeight="false" outlineLevel="0" collapsed="false">
      <c r="A5" s="5"/>
      <c r="B5" s="23" t="s">
        <v>132</v>
      </c>
      <c r="C5" s="5" t="s">
        <v>133</v>
      </c>
      <c r="D5" s="5" t="s">
        <v>134</v>
      </c>
      <c r="E5" s="5" t="s">
        <v>125</v>
      </c>
    </row>
    <row r="6" customFormat="false" ht="26.85" hidden="false" customHeight="false" outlineLevel="0" collapsed="false">
      <c r="A6" s="8"/>
      <c r="B6" s="22" t="s">
        <v>135</v>
      </c>
      <c r="C6" s="8" t="s">
        <v>73</v>
      </c>
      <c r="D6" s="8" t="s">
        <v>136</v>
      </c>
      <c r="E6" s="8" t="s">
        <v>125</v>
      </c>
    </row>
    <row r="7" customFormat="false" ht="26.85" hidden="false" customHeight="false" outlineLevel="0" collapsed="false">
      <c r="A7" s="5"/>
      <c r="B7" s="23" t="s">
        <v>137</v>
      </c>
      <c r="C7" s="5" t="s">
        <v>138</v>
      </c>
      <c r="D7" s="5" t="s">
        <v>139</v>
      </c>
      <c r="E7" s="5" t="s">
        <v>125</v>
      </c>
    </row>
    <row r="8" customFormat="false" ht="26.85" hidden="false" customHeight="false" outlineLevel="0" collapsed="false">
      <c r="A8" s="8"/>
      <c r="B8" s="22" t="s">
        <v>140</v>
      </c>
      <c r="C8" s="8" t="s">
        <v>141</v>
      </c>
      <c r="D8" s="8" t="s">
        <v>142</v>
      </c>
      <c r="E8" s="8" t="s">
        <v>125</v>
      </c>
    </row>
    <row r="9" customFormat="false" ht="39.55" hidden="false" customHeight="false" outlineLevel="0" collapsed="false">
      <c r="A9" s="5"/>
      <c r="B9" s="23" t="s">
        <v>143</v>
      </c>
      <c r="C9" s="5" t="s">
        <v>144</v>
      </c>
      <c r="D9" s="5" t="s">
        <v>145</v>
      </c>
      <c r="E9" s="5" t="s">
        <v>125</v>
      </c>
    </row>
    <row r="10" customFormat="false" ht="15" hidden="false" customHeight="false" outlineLevel="0" collapsed="false">
      <c r="A10" s="3"/>
      <c r="B10" s="3"/>
      <c r="C10" s="3"/>
      <c r="D10" s="3"/>
      <c r="E10" s="3"/>
    </row>
    <row r="11" customFormat="false" ht="26.85" hidden="false" customHeight="false" outlineLevel="0" collapsed="false">
      <c r="A11" s="24"/>
      <c r="B11" s="24"/>
      <c r="C11" s="24" t="s">
        <v>146</v>
      </c>
      <c r="D11" s="24" t="s">
        <v>147</v>
      </c>
      <c r="E11" s="24"/>
    </row>
    <row r="12" customFormat="false" ht="26.85" hidden="false" customHeight="false" outlineLevel="0" collapsed="false">
      <c r="A12" s="25"/>
      <c r="B12" s="25"/>
      <c r="C12" s="25" t="s">
        <v>148</v>
      </c>
      <c r="D12" s="25" t="s">
        <v>149</v>
      </c>
      <c r="E12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8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4"/>
      <c r="B1" s="4" t="s">
        <v>150</v>
      </c>
      <c r="C1" s="4" t="s">
        <v>151</v>
      </c>
      <c r="D1" s="4" t="s">
        <v>152</v>
      </c>
      <c r="E1" s="4" t="s">
        <v>56</v>
      </c>
      <c r="F1" s="4" t="s">
        <v>5</v>
      </c>
    </row>
    <row r="2" customFormat="false" ht="26.85" hidden="false" customHeight="false" outlineLevel="0" collapsed="false">
      <c r="A2" s="26"/>
      <c r="B2" s="26" t="s">
        <v>153</v>
      </c>
      <c r="C2" s="26"/>
      <c r="D2" s="26"/>
      <c r="E2" s="26"/>
      <c r="F2" s="26"/>
    </row>
    <row r="3" customFormat="false" ht="15" hidden="false" customHeight="false" outlineLevel="0" collapsed="false">
      <c r="A3" s="5"/>
      <c r="B3" s="6" t="s">
        <v>154</v>
      </c>
      <c r="C3" s="27" t="n">
        <v>10000</v>
      </c>
      <c r="D3" s="27" t="n">
        <v>0</v>
      </c>
      <c r="E3" s="27" t="n">
        <v>10000</v>
      </c>
      <c r="F3" s="5" t="s">
        <v>155</v>
      </c>
    </row>
    <row r="4" customFormat="false" ht="15" hidden="false" customHeight="false" outlineLevel="0" collapsed="false">
      <c r="A4" s="8"/>
      <c r="B4" s="9" t="s">
        <v>156</v>
      </c>
      <c r="C4" s="28" t="n">
        <v>3000</v>
      </c>
      <c r="D4" s="28" t="n">
        <v>0</v>
      </c>
      <c r="E4" s="28" t="n">
        <v>3000</v>
      </c>
      <c r="F4" s="8" t="s">
        <v>157</v>
      </c>
    </row>
    <row r="5" customFormat="false" ht="15" hidden="false" customHeight="false" outlineLevel="0" collapsed="false">
      <c r="A5" s="5"/>
      <c r="B5" s="6" t="s">
        <v>158</v>
      </c>
      <c r="C5" s="27" t="n">
        <v>0</v>
      </c>
      <c r="D5" s="27" t="n">
        <v>0</v>
      </c>
      <c r="E5" s="27" t="n">
        <v>1000</v>
      </c>
      <c r="F5" s="5" t="s">
        <v>159</v>
      </c>
    </row>
    <row r="6" customFormat="false" ht="15" hidden="false" customHeight="false" outlineLevel="0" collapsed="false">
      <c r="A6" s="8"/>
      <c r="B6" s="9" t="s">
        <v>160</v>
      </c>
      <c r="C6" s="28" t="n">
        <v>1500</v>
      </c>
      <c r="D6" s="28" t="n">
        <v>0</v>
      </c>
      <c r="E6" s="28" t="n">
        <v>1500</v>
      </c>
      <c r="F6" s="8" t="s">
        <v>161</v>
      </c>
    </row>
    <row r="7" customFormat="false" ht="15" hidden="false" customHeight="false" outlineLevel="0" collapsed="false">
      <c r="A7" s="5"/>
      <c r="B7" s="6"/>
      <c r="C7" s="27"/>
      <c r="D7" s="27"/>
      <c r="E7" s="27"/>
      <c r="F7" s="5"/>
    </row>
    <row r="8" customFormat="false" ht="26.85" hidden="false" customHeight="false" outlineLevel="0" collapsed="false">
      <c r="A8" s="26"/>
      <c r="B8" s="26" t="s">
        <v>162</v>
      </c>
      <c r="C8" s="26"/>
      <c r="D8" s="26"/>
      <c r="E8" s="26"/>
      <c r="F8" s="26"/>
    </row>
    <row r="9" customFormat="false" ht="26.85" hidden="false" customHeight="false" outlineLevel="0" collapsed="false">
      <c r="A9" s="5"/>
      <c r="B9" s="6" t="s">
        <v>163</v>
      </c>
      <c r="C9" s="27" t="n">
        <v>3000</v>
      </c>
      <c r="D9" s="27" t="n">
        <v>0</v>
      </c>
      <c r="E9" s="27" t="n">
        <v>3000</v>
      </c>
      <c r="F9" s="5" t="s">
        <v>164</v>
      </c>
    </row>
    <row r="10" customFormat="false" ht="26.85" hidden="false" customHeight="false" outlineLevel="0" collapsed="false">
      <c r="A10" s="8"/>
      <c r="B10" s="9" t="s">
        <v>165</v>
      </c>
      <c r="C10" s="28" t="n">
        <v>3000</v>
      </c>
      <c r="D10" s="28" t="n">
        <v>0</v>
      </c>
      <c r="E10" s="28" t="n">
        <v>3000</v>
      </c>
      <c r="F10" s="8" t="s">
        <v>166</v>
      </c>
    </row>
    <row r="11" customFormat="false" ht="15" hidden="false" customHeight="false" outlineLevel="0" collapsed="false">
      <c r="A11" s="5"/>
      <c r="B11" s="6" t="s">
        <v>167</v>
      </c>
      <c r="C11" s="27" t="n">
        <v>2000</v>
      </c>
      <c r="D11" s="27" t="n">
        <v>0</v>
      </c>
      <c r="E11" s="27" t="n">
        <v>2000</v>
      </c>
      <c r="F11" s="5" t="s">
        <v>168</v>
      </c>
    </row>
    <row r="12" customFormat="false" ht="26.85" hidden="false" customHeight="false" outlineLevel="0" collapsed="false">
      <c r="A12" s="8"/>
      <c r="B12" s="9" t="s">
        <v>169</v>
      </c>
      <c r="C12" s="28" t="n">
        <v>0</v>
      </c>
      <c r="D12" s="28" t="n">
        <v>0</v>
      </c>
      <c r="E12" s="28" t="n">
        <v>0</v>
      </c>
      <c r="F12" s="8" t="s">
        <v>170</v>
      </c>
    </row>
    <row r="13" customFormat="false" ht="15" hidden="false" customHeight="false" outlineLevel="0" collapsed="false">
      <c r="A13" s="26"/>
      <c r="B13" s="26"/>
      <c r="C13" s="26"/>
      <c r="D13" s="26"/>
      <c r="E13" s="26"/>
      <c r="F13" s="26"/>
    </row>
    <row r="14" customFormat="false" ht="15" hidden="false" customHeight="false" outlineLevel="0" collapsed="false">
      <c r="A14" s="8"/>
      <c r="B14" s="9" t="s">
        <v>171</v>
      </c>
      <c r="C14" s="28"/>
      <c r="D14" s="28"/>
      <c r="E14" s="28"/>
      <c r="F14" s="8"/>
    </row>
    <row r="15" customFormat="false" ht="15" hidden="false" customHeight="false" outlineLevel="0" collapsed="false">
      <c r="A15" s="5"/>
      <c r="B15" s="6" t="s">
        <v>172</v>
      </c>
      <c r="C15" s="27" t="n">
        <v>0</v>
      </c>
      <c r="D15" s="27" t="n">
        <v>42</v>
      </c>
      <c r="E15" s="27" t="n">
        <v>500</v>
      </c>
      <c r="F15" s="5" t="s">
        <v>173</v>
      </c>
    </row>
    <row r="16" customFormat="false" ht="15" hidden="false" customHeight="false" outlineLevel="0" collapsed="false">
      <c r="A16" s="8"/>
      <c r="B16" s="9" t="s">
        <v>174</v>
      </c>
      <c r="C16" s="28" t="n">
        <v>0</v>
      </c>
      <c r="D16" s="28" t="n">
        <v>0</v>
      </c>
      <c r="E16" s="28" t="n">
        <v>0</v>
      </c>
      <c r="F16" s="8" t="s">
        <v>175</v>
      </c>
    </row>
    <row r="17" customFormat="false" ht="15" hidden="false" customHeight="false" outlineLevel="0" collapsed="false">
      <c r="A17" s="5"/>
      <c r="B17" s="6" t="s">
        <v>176</v>
      </c>
      <c r="C17" s="27" t="n">
        <v>0</v>
      </c>
      <c r="D17" s="27" t="n">
        <v>33</v>
      </c>
      <c r="E17" s="27" t="n">
        <v>400</v>
      </c>
      <c r="F17" s="5" t="s">
        <v>177</v>
      </c>
    </row>
    <row r="18" customFormat="false" ht="15" hidden="false" customHeight="false" outlineLevel="0" collapsed="false">
      <c r="A18" s="8"/>
      <c r="B18" s="9" t="s">
        <v>100</v>
      </c>
      <c r="C18" s="28" t="n">
        <v>55</v>
      </c>
      <c r="D18" s="28" t="n">
        <v>0</v>
      </c>
      <c r="E18" s="28" t="n">
        <v>55</v>
      </c>
      <c r="F18" s="8" t="s">
        <v>178</v>
      </c>
    </row>
    <row r="19" customFormat="false" ht="15" hidden="false" customHeight="false" outlineLevel="0" collapsed="false">
      <c r="A19" s="5"/>
      <c r="B19" s="6" t="s">
        <v>179</v>
      </c>
      <c r="C19" s="27" t="n">
        <v>0</v>
      </c>
      <c r="D19" s="27" t="n">
        <v>17</v>
      </c>
      <c r="E19" s="27" t="n">
        <v>200</v>
      </c>
      <c r="F19" s="5" t="s">
        <v>180</v>
      </c>
    </row>
    <row r="20" customFormat="false" ht="26.85" hidden="false" customHeight="false" outlineLevel="0" collapsed="false">
      <c r="A20" s="8"/>
      <c r="B20" s="9" t="s">
        <v>181</v>
      </c>
      <c r="C20" s="28" t="n">
        <v>0</v>
      </c>
      <c r="D20" s="28" t="n">
        <v>0</v>
      </c>
      <c r="E20" s="28" t="n">
        <v>0</v>
      </c>
      <c r="F20" s="8" t="s">
        <v>182</v>
      </c>
    </row>
    <row r="21" customFormat="false" ht="15" hidden="false" customHeight="false" outlineLevel="0" collapsed="false">
      <c r="A21" s="26"/>
      <c r="B21" s="26"/>
      <c r="C21" s="26"/>
      <c r="D21" s="26"/>
      <c r="E21" s="26"/>
      <c r="F21" s="26"/>
    </row>
    <row r="22" customFormat="false" ht="15" hidden="false" customHeight="false" outlineLevel="0" collapsed="false">
      <c r="A22" s="8"/>
      <c r="B22" s="9" t="s">
        <v>183</v>
      </c>
      <c r="C22" s="28"/>
      <c r="D22" s="28"/>
      <c r="E22" s="28"/>
      <c r="F22" s="8"/>
    </row>
    <row r="23" customFormat="false" ht="15" hidden="false" customHeight="false" outlineLevel="0" collapsed="false">
      <c r="A23" s="5"/>
      <c r="B23" s="6" t="s">
        <v>184</v>
      </c>
      <c r="C23" s="27" t="n">
        <v>370</v>
      </c>
      <c r="D23" s="27" t="n">
        <v>0</v>
      </c>
      <c r="E23" s="27" t="n">
        <v>370</v>
      </c>
      <c r="F23" s="5" t="s">
        <v>185</v>
      </c>
    </row>
    <row r="24" customFormat="false" ht="15" hidden="false" customHeight="false" outlineLevel="0" collapsed="false">
      <c r="A24" s="8"/>
      <c r="B24" s="9" t="s">
        <v>186</v>
      </c>
      <c r="C24" s="28" t="n">
        <v>92</v>
      </c>
      <c r="D24" s="28" t="n">
        <v>0</v>
      </c>
      <c r="E24" s="28" t="n">
        <v>92</v>
      </c>
      <c r="F24" s="8" t="s">
        <v>187</v>
      </c>
    </row>
    <row r="25" customFormat="false" ht="26.85" hidden="false" customHeight="false" outlineLevel="0" collapsed="false">
      <c r="A25" s="5"/>
      <c r="B25" s="6" t="s">
        <v>188</v>
      </c>
      <c r="C25" s="27" t="n">
        <v>0</v>
      </c>
      <c r="D25" s="27" t="n">
        <v>0</v>
      </c>
      <c r="E25" s="27" t="n">
        <v>0</v>
      </c>
      <c r="F25" s="5" t="s">
        <v>189</v>
      </c>
    </row>
    <row r="26" customFormat="false" ht="26.85" hidden="false" customHeight="false" outlineLevel="0" collapsed="false">
      <c r="A26" s="8"/>
      <c r="B26" s="9" t="s">
        <v>190</v>
      </c>
      <c r="C26" s="28" t="n">
        <v>0</v>
      </c>
      <c r="D26" s="28" t="n">
        <v>0</v>
      </c>
      <c r="E26" s="28" t="n">
        <v>0</v>
      </c>
      <c r="F26" s="8" t="s">
        <v>189</v>
      </c>
    </row>
    <row r="27" customFormat="false" ht="26.85" hidden="false" customHeight="false" outlineLevel="0" collapsed="false">
      <c r="A27" s="26"/>
      <c r="B27" s="26" t="s">
        <v>191</v>
      </c>
      <c r="C27" s="26" t="n">
        <v>0</v>
      </c>
      <c r="D27" s="26" t="n">
        <v>0</v>
      </c>
      <c r="E27" s="26" t="n">
        <v>0</v>
      </c>
      <c r="F27" s="26" t="s">
        <v>192</v>
      </c>
    </row>
    <row r="28" customFormat="false" ht="15" hidden="false" customHeight="false" outlineLevel="0" collapsed="false">
      <c r="A28" s="8"/>
      <c r="B28" s="9"/>
      <c r="C28" s="28"/>
      <c r="D28" s="28"/>
      <c r="E28" s="28"/>
      <c r="F28" s="8"/>
    </row>
    <row r="29" customFormat="false" ht="26.85" hidden="false" customHeight="false" outlineLevel="0" collapsed="false">
      <c r="A29" s="5"/>
      <c r="B29" s="6" t="s">
        <v>193</v>
      </c>
      <c r="C29" s="27"/>
      <c r="D29" s="27"/>
      <c r="E29" s="27"/>
      <c r="F29" s="5"/>
    </row>
    <row r="30" customFormat="false" ht="15" hidden="false" customHeight="false" outlineLevel="0" collapsed="false">
      <c r="A30" s="8"/>
      <c r="B30" s="9" t="s">
        <v>194</v>
      </c>
      <c r="C30" s="28" t="n">
        <v>0</v>
      </c>
      <c r="D30" s="28" t="n">
        <v>3000</v>
      </c>
      <c r="E30" s="28" t="n">
        <v>9000</v>
      </c>
      <c r="F30" s="8" t="s">
        <v>195</v>
      </c>
    </row>
    <row r="31" customFormat="false" ht="15" hidden="false" customHeight="false" outlineLevel="0" collapsed="false">
      <c r="A31" s="5"/>
      <c r="B31" s="6" t="s">
        <v>196</v>
      </c>
      <c r="C31" s="27" t="n">
        <v>0</v>
      </c>
      <c r="D31" s="27" t="n">
        <v>2000</v>
      </c>
      <c r="E31" s="27" t="n">
        <v>6000</v>
      </c>
      <c r="F31" s="5" t="s">
        <v>197</v>
      </c>
    </row>
    <row r="32" customFormat="false" ht="15" hidden="false" customHeight="false" outlineLevel="0" collapsed="false">
      <c r="A32" s="26"/>
      <c r="B32" s="26" t="s">
        <v>198</v>
      </c>
      <c r="C32" s="26" t="n">
        <v>2000</v>
      </c>
      <c r="D32" s="26" t="n">
        <v>0</v>
      </c>
      <c r="E32" s="26" t="n">
        <v>2000</v>
      </c>
      <c r="F32" s="26" t="s">
        <v>199</v>
      </c>
    </row>
    <row r="33" customFormat="false" ht="15" hidden="false" customHeight="false" outlineLevel="0" collapsed="false">
      <c r="A33" s="5"/>
      <c r="B33" s="6"/>
      <c r="C33" s="27"/>
      <c r="D33" s="27"/>
      <c r="E33" s="27"/>
      <c r="F33" s="5"/>
    </row>
    <row r="34" customFormat="false" ht="15" hidden="false" customHeight="false" outlineLevel="0" collapsed="false">
      <c r="A34" s="8"/>
      <c r="B34" s="9" t="s">
        <v>200</v>
      </c>
      <c r="C34" s="28"/>
      <c r="D34" s="28"/>
      <c r="E34" s="28"/>
      <c r="F34" s="8"/>
    </row>
    <row r="35" customFormat="false" ht="15" hidden="false" customHeight="false" outlineLevel="0" collapsed="false">
      <c r="A35" s="5"/>
      <c r="B35" s="6" t="s">
        <v>201</v>
      </c>
      <c r="C35" s="27" t="n">
        <v>0</v>
      </c>
      <c r="D35" s="27" t="n">
        <v>50</v>
      </c>
      <c r="E35" s="27" t="n">
        <v>600</v>
      </c>
      <c r="F35" s="5" t="s">
        <v>202</v>
      </c>
    </row>
    <row r="36" customFormat="false" ht="26.85" hidden="false" customHeight="false" outlineLevel="0" collapsed="false">
      <c r="A36" s="8"/>
      <c r="B36" s="9" t="s">
        <v>203</v>
      </c>
      <c r="C36" s="28" t="n">
        <v>0</v>
      </c>
      <c r="D36" s="28" t="n">
        <v>500</v>
      </c>
      <c r="E36" s="28" t="n">
        <v>6000</v>
      </c>
      <c r="F36" s="8" t="s">
        <v>204</v>
      </c>
    </row>
    <row r="37" customFormat="false" ht="15" hidden="false" customHeight="false" outlineLevel="0" collapsed="false">
      <c r="A37" s="20"/>
      <c r="B37" s="20" t="s">
        <v>205</v>
      </c>
      <c r="C37" s="29" t="n">
        <f aca="false">C3+C4+C5+C6+C9+C10+C11+C17+C19+C22+C23+C29+C35</f>
        <v>22870</v>
      </c>
      <c r="D37" s="29" t="n">
        <v>0</v>
      </c>
      <c r="E37" s="29" t="n">
        <v>0</v>
      </c>
      <c r="F37" s="20" t="s">
        <v>206</v>
      </c>
    </row>
    <row r="38" customFormat="false" ht="15" hidden="false" customHeight="false" outlineLevel="0" collapsed="false">
      <c r="A38" s="30"/>
      <c r="B38" s="30" t="s">
        <v>207</v>
      </c>
      <c r="C38" s="31" t="n">
        <v>2000</v>
      </c>
      <c r="D38" s="31" t="n">
        <f aca="false">D14+D16+D18+D28+D29+D33+D34</f>
        <v>0</v>
      </c>
      <c r="E38" s="31" t="n">
        <v>2000</v>
      </c>
      <c r="F38" s="30" t="s">
        <v>208</v>
      </c>
    </row>
    <row r="39" customFormat="false" ht="15" hidden="false" customHeight="false" outlineLevel="0" collapsed="false">
      <c r="A39" s="32"/>
      <c r="B39" s="32"/>
      <c r="C39" s="33"/>
      <c r="D39" s="33"/>
      <c r="E39" s="33" t="n">
        <f aca="false">C37+(D38*12)+E5+E14+E16+E17+E18+E22+E23+E28+E29+E30+E33+E34+E35</f>
        <v>34295</v>
      </c>
      <c r="F39" s="32"/>
    </row>
    <row r="40" customFormat="false" ht="15" hidden="false" customHeight="false" outlineLevel="0" collapsed="false">
      <c r="A40" s="8"/>
      <c r="B40" s="9" t="s">
        <v>209</v>
      </c>
      <c r="C40" s="28"/>
      <c r="D40" s="28"/>
      <c r="E40" s="28"/>
      <c r="F40" s="8"/>
    </row>
    <row r="41" customFormat="false" ht="15" hidden="false" customHeight="false" outlineLevel="0" collapsed="false">
      <c r="A41" s="5"/>
      <c r="B41" s="6" t="s">
        <v>210</v>
      </c>
      <c r="C41" s="27"/>
      <c r="D41" s="27"/>
      <c r="E41" s="27"/>
      <c r="F41" s="5"/>
    </row>
    <row r="42" customFormat="false" ht="15" hidden="false" customHeight="false" outlineLevel="0" collapsed="false">
      <c r="A42" s="8"/>
      <c r="B42" s="9" t="s">
        <v>211</v>
      </c>
      <c r="C42" s="28"/>
      <c r="D42" s="28"/>
      <c r="E42" s="28"/>
      <c r="F4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5"/>
  </cols>
  <sheetData>
    <row r="1" customFormat="false" ht="15" hidden="false" customHeight="false" outlineLevel="0" collapsed="false">
      <c r="A1" s="4"/>
      <c r="B1" s="4" t="s">
        <v>212</v>
      </c>
      <c r="C1" s="4" t="s">
        <v>213</v>
      </c>
      <c r="D1" s="4" t="s">
        <v>5</v>
      </c>
    </row>
    <row r="2" customFormat="false" ht="26.85" hidden="false" customHeight="false" outlineLevel="0" collapsed="false">
      <c r="A2" s="8"/>
      <c r="B2" s="9" t="s">
        <v>214</v>
      </c>
      <c r="C2" s="18" t="n">
        <v>42</v>
      </c>
      <c r="D2" s="8" t="s">
        <v>215</v>
      </c>
    </row>
    <row r="3" customFormat="false" ht="26.85" hidden="false" customHeight="false" outlineLevel="0" collapsed="false">
      <c r="A3" s="5"/>
      <c r="B3" s="6" t="s">
        <v>174</v>
      </c>
      <c r="C3" s="19" t="n">
        <v>0</v>
      </c>
      <c r="D3" s="5" t="s">
        <v>216</v>
      </c>
    </row>
    <row r="4" customFormat="false" ht="15" hidden="false" customHeight="false" outlineLevel="0" collapsed="false">
      <c r="A4" s="8"/>
      <c r="B4" s="9" t="s">
        <v>176</v>
      </c>
      <c r="C4" s="18" t="n">
        <v>33</v>
      </c>
      <c r="D4" s="8" t="s">
        <v>177</v>
      </c>
    </row>
    <row r="5" customFormat="false" ht="15" hidden="false" customHeight="false" outlineLevel="0" collapsed="false">
      <c r="A5" s="5"/>
      <c r="B5" s="6" t="s">
        <v>179</v>
      </c>
      <c r="C5" s="19" t="n">
        <v>17</v>
      </c>
      <c r="D5" s="5" t="s">
        <v>217</v>
      </c>
    </row>
    <row r="6" customFormat="false" ht="15" hidden="false" customHeight="false" outlineLevel="0" collapsed="false">
      <c r="A6" s="8"/>
      <c r="B6" s="9" t="s">
        <v>218</v>
      </c>
      <c r="C6" s="18" t="n">
        <v>0</v>
      </c>
      <c r="D6" s="8" t="s">
        <v>219</v>
      </c>
    </row>
    <row r="7" customFormat="false" ht="15" hidden="false" customHeight="false" outlineLevel="0" collapsed="false">
      <c r="A7" s="5"/>
      <c r="B7" s="6" t="s">
        <v>220</v>
      </c>
      <c r="C7" s="19" t="n">
        <v>0</v>
      </c>
      <c r="D7" s="5" t="s">
        <v>221</v>
      </c>
    </row>
    <row r="8" customFormat="false" ht="15" hidden="false" customHeight="false" outlineLevel="0" collapsed="false">
      <c r="A8" s="8"/>
      <c r="B8" s="9" t="s">
        <v>222</v>
      </c>
      <c r="C8" s="18" t="n">
        <v>0</v>
      </c>
      <c r="D8" s="8" t="s">
        <v>223</v>
      </c>
    </row>
    <row r="9" customFormat="false" ht="15" hidden="false" customHeight="false" outlineLevel="0" collapsed="false">
      <c r="A9" s="5"/>
      <c r="B9" s="6" t="s">
        <v>224</v>
      </c>
      <c r="C9" s="19" t="n">
        <v>0</v>
      </c>
      <c r="D9" s="5" t="s">
        <v>225</v>
      </c>
    </row>
    <row r="10" customFormat="false" ht="15" hidden="false" customHeight="false" outlineLevel="0" collapsed="false">
      <c r="A10" s="8"/>
      <c r="B10" s="9" t="s">
        <v>226</v>
      </c>
      <c r="C10" s="18" t="n">
        <v>0</v>
      </c>
      <c r="D10" s="8" t="s">
        <v>227</v>
      </c>
    </row>
    <row r="11" customFormat="false" ht="15" hidden="false" customHeight="false" outlineLevel="0" collapsed="false">
      <c r="A11" s="5"/>
      <c r="B11" s="6" t="s">
        <v>228</v>
      </c>
      <c r="C11" s="19" t="n">
        <v>0</v>
      </c>
      <c r="D11" s="5" t="s">
        <v>219</v>
      </c>
    </row>
    <row r="12" customFormat="false" ht="15" hidden="false" customHeight="false" outlineLevel="0" collapsed="false">
      <c r="A12" s="8"/>
      <c r="B12" s="9" t="s">
        <v>229</v>
      </c>
      <c r="C12" s="18" t="n">
        <v>50</v>
      </c>
      <c r="D12" s="8" t="s">
        <v>230</v>
      </c>
    </row>
    <row r="13" customFormat="false" ht="15" hidden="false" customHeight="false" outlineLevel="0" collapsed="false">
      <c r="A13" s="5"/>
      <c r="B13" s="6" t="s">
        <v>231</v>
      </c>
      <c r="C13" s="19" t="n">
        <v>500</v>
      </c>
      <c r="D13" s="5" t="s">
        <v>232</v>
      </c>
    </row>
    <row r="14" customFormat="false" ht="15" hidden="false" customHeight="false" outlineLevel="0" collapsed="false">
      <c r="A14" s="20"/>
      <c r="B14" s="20" t="s">
        <v>233</v>
      </c>
      <c r="C14" s="21" t="n">
        <f aca="false">SUM(C2:C13)</f>
        <v>642</v>
      </c>
      <c r="D14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35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25"/>
  </cols>
  <sheetData>
    <row r="1" customFormat="false" ht="15" hidden="false" customHeight="false" outlineLevel="0" collapsed="false">
      <c r="A1" s="4"/>
      <c r="B1" s="4" t="s">
        <v>234</v>
      </c>
      <c r="C1" s="4" t="s">
        <v>235</v>
      </c>
      <c r="D1" s="4" t="s">
        <v>236</v>
      </c>
      <c r="E1" s="4" t="s">
        <v>237</v>
      </c>
      <c r="F1" s="4" t="s">
        <v>238</v>
      </c>
    </row>
    <row r="2" customFormat="false" ht="15" hidden="false" customHeight="false" outlineLevel="0" collapsed="false">
      <c r="A2" s="8"/>
      <c r="B2" s="22" t="n">
        <v>1</v>
      </c>
      <c r="C2" s="8" t="s">
        <v>239</v>
      </c>
      <c r="D2" s="34" t="s">
        <v>240</v>
      </c>
      <c r="E2" s="8" t="s">
        <v>241</v>
      </c>
      <c r="F2" s="8" t="s">
        <v>242</v>
      </c>
    </row>
    <row r="3" customFormat="false" ht="15" hidden="false" customHeight="false" outlineLevel="0" collapsed="false">
      <c r="A3" s="5"/>
      <c r="B3" s="23" t="n">
        <v>2</v>
      </c>
      <c r="C3" s="5" t="s">
        <v>243</v>
      </c>
      <c r="D3" s="35" t="s">
        <v>240</v>
      </c>
      <c r="E3" s="5" t="s">
        <v>244</v>
      </c>
      <c r="F3" s="5" t="s">
        <v>245</v>
      </c>
    </row>
    <row r="4" customFormat="false" ht="15" hidden="false" customHeight="false" outlineLevel="0" collapsed="false">
      <c r="A4" s="8"/>
      <c r="B4" s="22" t="n">
        <v>3</v>
      </c>
      <c r="C4" s="8" t="s">
        <v>246</v>
      </c>
      <c r="D4" s="36" t="s">
        <v>247</v>
      </c>
      <c r="E4" s="8" t="s">
        <v>241</v>
      </c>
      <c r="F4" s="8" t="s">
        <v>242</v>
      </c>
    </row>
    <row r="5" customFormat="false" ht="15" hidden="false" customHeight="false" outlineLevel="0" collapsed="false">
      <c r="A5" s="5"/>
      <c r="B5" s="23" t="n">
        <v>4</v>
      </c>
      <c r="C5" s="5" t="s">
        <v>248</v>
      </c>
      <c r="D5" s="37" t="s">
        <v>247</v>
      </c>
      <c r="E5" s="5" t="s">
        <v>241</v>
      </c>
      <c r="F5" s="5" t="s">
        <v>242</v>
      </c>
    </row>
    <row r="6" customFormat="false" ht="15" hidden="false" customHeight="false" outlineLevel="0" collapsed="false">
      <c r="A6" s="8"/>
      <c r="B6" s="22" t="n">
        <v>5</v>
      </c>
      <c r="C6" s="8" t="s">
        <v>249</v>
      </c>
      <c r="D6" s="36" t="s">
        <v>247</v>
      </c>
      <c r="E6" s="8" t="s">
        <v>250</v>
      </c>
      <c r="F6" s="8" t="s">
        <v>251</v>
      </c>
    </row>
    <row r="7" customFormat="false" ht="15" hidden="false" customHeight="false" outlineLevel="0" collapsed="false">
      <c r="A7" s="5"/>
      <c r="B7" s="23" t="n">
        <v>6</v>
      </c>
      <c r="C7" s="5" t="s">
        <v>252</v>
      </c>
      <c r="D7" s="37" t="s">
        <v>247</v>
      </c>
      <c r="E7" s="5" t="s">
        <v>244</v>
      </c>
      <c r="F7" s="5" t="s">
        <v>253</v>
      </c>
    </row>
    <row r="8" customFormat="false" ht="15" hidden="false" customHeight="false" outlineLevel="0" collapsed="false">
      <c r="A8" s="8"/>
      <c r="B8" s="22" t="n">
        <v>7</v>
      </c>
      <c r="C8" s="8" t="s">
        <v>254</v>
      </c>
      <c r="D8" s="36" t="s">
        <v>247</v>
      </c>
      <c r="E8" s="8" t="s">
        <v>255</v>
      </c>
      <c r="F8" s="8" t="s">
        <v>251</v>
      </c>
    </row>
    <row r="9" customFormat="false" ht="15" hidden="false" customHeight="false" outlineLevel="0" collapsed="false">
      <c r="A9" s="5"/>
      <c r="B9" s="23" t="n">
        <v>8</v>
      </c>
      <c r="C9" s="5" t="s">
        <v>256</v>
      </c>
      <c r="D9" s="37" t="s">
        <v>247</v>
      </c>
      <c r="E9" s="5" t="s">
        <v>257</v>
      </c>
      <c r="F9" s="5" t="s">
        <v>258</v>
      </c>
    </row>
    <row r="10" customFormat="false" ht="15" hidden="false" customHeight="false" outlineLevel="0" collapsed="false">
      <c r="A10" s="8"/>
      <c r="B10" s="22" t="n">
        <v>9</v>
      </c>
      <c r="C10" s="8" t="s">
        <v>259</v>
      </c>
      <c r="D10" s="36" t="s">
        <v>247</v>
      </c>
      <c r="E10" s="8" t="s">
        <v>260</v>
      </c>
      <c r="F10" s="8" t="s">
        <v>261</v>
      </c>
    </row>
    <row r="11" customFormat="false" ht="15" hidden="false" customHeight="false" outlineLevel="0" collapsed="false">
      <c r="A11" s="5"/>
      <c r="B11" s="23" t="n">
        <v>10</v>
      </c>
      <c r="C11" s="5" t="s">
        <v>262</v>
      </c>
      <c r="D11" s="37" t="s">
        <v>247</v>
      </c>
      <c r="E11" s="5" t="s">
        <v>263</v>
      </c>
      <c r="F11" s="5" t="s">
        <v>264</v>
      </c>
    </row>
    <row r="12" customFormat="false" ht="15" hidden="false" customHeight="false" outlineLevel="0" collapsed="false">
      <c r="A12" s="8"/>
      <c r="B12" s="22" t="n">
        <v>11</v>
      </c>
      <c r="C12" s="8" t="s">
        <v>265</v>
      </c>
      <c r="D12" s="36" t="s">
        <v>247</v>
      </c>
      <c r="E12" s="8" t="s">
        <v>266</v>
      </c>
      <c r="F12" s="8" t="s">
        <v>267</v>
      </c>
    </row>
    <row r="13" customFormat="false" ht="15" hidden="false" customHeight="false" outlineLevel="0" collapsed="false">
      <c r="A13" s="5"/>
      <c r="B13" s="23" t="n">
        <v>12</v>
      </c>
      <c r="C13" s="5" t="s">
        <v>268</v>
      </c>
      <c r="D13" s="37" t="s">
        <v>247</v>
      </c>
      <c r="E13" s="5" t="s">
        <v>266</v>
      </c>
      <c r="F13" s="5" t="s">
        <v>269</v>
      </c>
    </row>
    <row r="14" customFormat="false" ht="15" hidden="false" customHeight="false" outlineLevel="0" collapsed="false">
      <c r="A14" s="8"/>
      <c r="B14" s="22" t="n">
        <v>13</v>
      </c>
      <c r="C14" s="8" t="s">
        <v>270</v>
      </c>
      <c r="D14" s="34" t="s">
        <v>240</v>
      </c>
      <c r="E14" s="8" t="s">
        <v>271</v>
      </c>
      <c r="F14" s="8" t="s">
        <v>272</v>
      </c>
    </row>
    <row r="15" customFormat="false" ht="15" hidden="false" customHeight="false" outlineLevel="0" collapsed="false">
      <c r="A15" s="5"/>
      <c r="B15" s="23" t="n">
        <v>14</v>
      </c>
      <c r="C15" s="5" t="s">
        <v>273</v>
      </c>
      <c r="D15" s="38" t="s">
        <v>274</v>
      </c>
      <c r="E15" s="5" t="s">
        <v>275</v>
      </c>
      <c r="F15" s="5" t="s">
        <v>276</v>
      </c>
    </row>
    <row r="16" customFormat="false" ht="15" hidden="false" customHeight="false" outlineLevel="0" collapsed="false">
      <c r="A16" s="8"/>
      <c r="B16" s="22" t="n">
        <v>15</v>
      </c>
      <c r="C16" s="8" t="s">
        <v>277</v>
      </c>
      <c r="D16" s="39" t="s">
        <v>274</v>
      </c>
      <c r="E16" s="8" t="s">
        <v>275</v>
      </c>
      <c r="F16" s="8" t="s">
        <v>278</v>
      </c>
    </row>
    <row r="17" customFormat="false" ht="15" hidden="false" customHeight="false" outlineLevel="0" collapsed="false">
      <c r="A17" s="5"/>
      <c r="B17" s="23" t="n">
        <v>16</v>
      </c>
      <c r="C17" s="5" t="s">
        <v>279</v>
      </c>
      <c r="D17" s="37" t="s">
        <v>247</v>
      </c>
      <c r="E17" s="5" t="s">
        <v>280</v>
      </c>
      <c r="F17" s="5" t="s">
        <v>253</v>
      </c>
    </row>
    <row r="18" customFormat="false" ht="15" hidden="false" customHeight="false" outlineLevel="0" collapsed="false">
      <c r="A18" s="8"/>
      <c r="B18" s="22" t="n">
        <v>17</v>
      </c>
      <c r="C18" s="8" t="s">
        <v>281</v>
      </c>
      <c r="D18" s="36" t="s">
        <v>247</v>
      </c>
      <c r="E18" s="8" t="s">
        <v>282</v>
      </c>
      <c r="F18" s="8" t="s">
        <v>283</v>
      </c>
    </row>
    <row r="19" customFormat="false" ht="15" hidden="false" customHeight="false" outlineLevel="0" collapsed="false">
      <c r="A19" s="5"/>
      <c r="B19" s="23" t="n">
        <v>18</v>
      </c>
      <c r="C19" s="5" t="s">
        <v>284</v>
      </c>
      <c r="D19" s="37" t="s">
        <v>247</v>
      </c>
      <c r="E19" s="5" t="s">
        <v>282</v>
      </c>
      <c r="F19" s="5" t="s">
        <v>285</v>
      </c>
    </row>
    <row r="20" customFormat="false" ht="15" hidden="false" customHeight="false" outlineLevel="0" collapsed="false">
      <c r="A20" s="8"/>
      <c r="B20" s="22" t="n">
        <v>19</v>
      </c>
      <c r="C20" s="8" t="s">
        <v>286</v>
      </c>
      <c r="D20" s="36" t="s">
        <v>247</v>
      </c>
      <c r="E20" s="8" t="s">
        <v>282</v>
      </c>
      <c r="F20" s="8" t="s">
        <v>242</v>
      </c>
    </row>
    <row r="21" customFormat="false" ht="15" hidden="false" customHeight="false" outlineLevel="0" collapsed="false">
      <c r="A21" s="5"/>
      <c r="B21" s="23" t="n">
        <v>20</v>
      </c>
      <c r="C21" s="5" t="s">
        <v>287</v>
      </c>
      <c r="D21" s="37" t="s">
        <v>247</v>
      </c>
      <c r="E21" s="5" t="s">
        <v>282</v>
      </c>
      <c r="F21" s="5" t="s">
        <v>242</v>
      </c>
    </row>
    <row r="22" customFormat="false" ht="15" hidden="false" customHeight="false" outlineLevel="0" collapsed="false">
      <c r="A22" s="8"/>
      <c r="B22" s="22" t="n">
        <v>21</v>
      </c>
      <c r="C22" s="8" t="s">
        <v>288</v>
      </c>
      <c r="D22" s="36" t="s">
        <v>247</v>
      </c>
      <c r="E22" s="8" t="s">
        <v>289</v>
      </c>
      <c r="F22" s="8" t="s">
        <v>290</v>
      </c>
    </row>
    <row r="23" customFormat="false" ht="15" hidden="false" customHeight="false" outlineLevel="0" collapsed="false">
      <c r="A23" s="5"/>
      <c r="B23" s="23" t="n">
        <v>22</v>
      </c>
      <c r="C23" s="5" t="s">
        <v>291</v>
      </c>
      <c r="D23" s="37" t="s">
        <v>247</v>
      </c>
      <c r="E23" s="5" t="s">
        <v>289</v>
      </c>
      <c r="F23" s="5" t="s">
        <v>292</v>
      </c>
    </row>
    <row r="24" customFormat="false" ht="15" hidden="false" customHeight="false" outlineLevel="0" collapsed="false">
      <c r="A24" s="8"/>
      <c r="B24" s="22" t="n">
        <v>23</v>
      </c>
      <c r="C24" s="8" t="s">
        <v>293</v>
      </c>
      <c r="D24" s="34" t="s">
        <v>240</v>
      </c>
      <c r="E24" s="8" t="s">
        <v>266</v>
      </c>
      <c r="F24" s="8" t="s">
        <v>242</v>
      </c>
    </row>
    <row r="25" customFormat="false" ht="15" hidden="false" customHeight="false" outlineLevel="0" collapsed="false">
      <c r="A25" s="5"/>
      <c r="B25" s="23" t="n">
        <v>24</v>
      </c>
      <c r="C25" s="5" t="s">
        <v>294</v>
      </c>
      <c r="D25" s="35" t="s">
        <v>240</v>
      </c>
      <c r="E25" s="5" t="s">
        <v>266</v>
      </c>
      <c r="F25" s="5" t="s">
        <v>242</v>
      </c>
    </row>
    <row r="26" customFormat="false" ht="15" hidden="false" customHeight="false" outlineLevel="0" collapsed="false">
      <c r="A26" s="8"/>
      <c r="B26" s="22" t="n">
        <v>25</v>
      </c>
      <c r="C26" s="8" t="s">
        <v>295</v>
      </c>
      <c r="D26" s="36" t="s">
        <v>247</v>
      </c>
      <c r="E26" s="8" t="s">
        <v>289</v>
      </c>
      <c r="F26" s="8" t="s">
        <v>269</v>
      </c>
    </row>
    <row r="27" customFormat="false" ht="15" hidden="false" customHeight="false" outlineLevel="0" collapsed="false">
      <c r="A27" s="5"/>
      <c r="B27" s="23" t="n">
        <v>26</v>
      </c>
      <c r="C27" s="5" t="s">
        <v>296</v>
      </c>
      <c r="D27" s="35" t="s">
        <v>240</v>
      </c>
      <c r="E27" s="5" t="s">
        <v>289</v>
      </c>
      <c r="F27" s="5" t="s">
        <v>297</v>
      </c>
    </row>
    <row r="28" customFormat="false" ht="15" hidden="false" customHeight="false" outlineLevel="0" collapsed="false">
      <c r="A28" s="8"/>
      <c r="B28" s="22" t="n">
        <v>27</v>
      </c>
      <c r="C28" s="8" t="s">
        <v>298</v>
      </c>
      <c r="D28" s="34" t="s">
        <v>240</v>
      </c>
      <c r="E28" s="8" t="s">
        <v>299</v>
      </c>
      <c r="F28" s="8" t="s">
        <v>300</v>
      </c>
    </row>
    <row r="29" customFormat="false" ht="15" hidden="false" customHeight="false" outlineLevel="0" collapsed="false">
      <c r="A29" s="5"/>
      <c r="B29" s="23" t="n">
        <v>28</v>
      </c>
      <c r="C29" s="5" t="s">
        <v>301</v>
      </c>
      <c r="D29" s="35" t="s">
        <v>240</v>
      </c>
      <c r="E29" s="5" t="s">
        <v>299</v>
      </c>
      <c r="F29" s="5" t="s">
        <v>302</v>
      </c>
    </row>
    <row r="30" customFormat="false" ht="15" hidden="false" customHeight="false" outlineLevel="0" collapsed="false">
      <c r="A30" s="8"/>
      <c r="B30" s="22" t="n">
        <v>29</v>
      </c>
      <c r="C30" s="8" t="s">
        <v>303</v>
      </c>
      <c r="D30" s="36" t="s">
        <v>247</v>
      </c>
      <c r="E30" s="8" t="s">
        <v>304</v>
      </c>
      <c r="F30" s="8" t="s">
        <v>305</v>
      </c>
    </row>
    <row r="31" customFormat="false" ht="15" hidden="false" customHeight="false" outlineLevel="0" collapsed="false">
      <c r="A31" s="5"/>
      <c r="B31" s="23" t="n">
        <v>30</v>
      </c>
      <c r="C31" s="5" t="s">
        <v>306</v>
      </c>
      <c r="D31" s="37" t="s">
        <v>247</v>
      </c>
      <c r="E31" s="5" t="s">
        <v>304</v>
      </c>
      <c r="F31" s="5" t="s">
        <v>305</v>
      </c>
    </row>
    <row r="32" customFormat="false" ht="15" hidden="false" customHeight="false" outlineLevel="0" collapsed="false">
      <c r="A32" s="8"/>
      <c r="B32" s="22" t="n">
        <v>31</v>
      </c>
      <c r="C32" s="8" t="s">
        <v>307</v>
      </c>
      <c r="D32" s="34" t="s">
        <v>240</v>
      </c>
      <c r="E32" s="8" t="s">
        <v>308</v>
      </c>
      <c r="F32" s="8" t="s">
        <v>309</v>
      </c>
    </row>
    <row r="33" customFormat="false" ht="15" hidden="false" customHeight="false" outlineLevel="0" collapsed="false">
      <c r="A33" s="5"/>
      <c r="B33" s="23" t="n">
        <v>32</v>
      </c>
      <c r="C33" s="5" t="s">
        <v>310</v>
      </c>
      <c r="D33" s="35" t="s">
        <v>240</v>
      </c>
      <c r="E33" s="5" t="s">
        <v>308</v>
      </c>
      <c r="F33" s="5" t="s">
        <v>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7" min="3" style="0" width="18"/>
  </cols>
  <sheetData>
    <row r="1" customFormat="false" ht="15" hidden="false" customHeight="false" outlineLevel="0" collapsed="false">
      <c r="A1" s="4"/>
      <c r="B1" s="4" t="s">
        <v>312</v>
      </c>
      <c r="C1" s="4" t="s">
        <v>313</v>
      </c>
      <c r="D1" s="4" t="s">
        <v>314</v>
      </c>
      <c r="E1" s="4" t="s">
        <v>315</v>
      </c>
      <c r="F1" s="4" t="s">
        <v>316</v>
      </c>
      <c r="G1" s="4" t="s">
        <v>317</v>
      </c>
    </row>
    <row r="2" customFormat="false" ht="15" hidden="false" customHeight="false" outlineLevel="0" collapsed="false">
      <c r="A2" s="40"/>
      <c r="B2" s="9" t="s">
        <v>33</v>
      </c>
      <c r="C2" s="40" t="s">
        <v>34</v>
      </c>
      <c r="D2" s="40" t="s">
        <v>318</v>
      </c>
      <c r="E2" s="40" t="s">
        <v>319</v>
      </c>
      <c r="F2" s="40" t="s">
        <v>320</v>
      </c>
      <c r="G2" s="40" t="s">
        <v>320</v>
      </c>
    </row>
    <row r="3" customFormat="false" ht="15" hidden="false" customHeight="false" outlineLevel="0" collapsed="false">
      <c r="A3" s="41"/>
      <c r="B3" s="6" t="s">
        <v>321</v>
      </c>
      <c r="C3" s="41" t="s">
        <v>37</v>
      </c>
      <c r="D3" s="41" t="s">
        <v>37</v>
      </c>
      <c r="E3" s="41" t="s">
        <v>322</v>
      </c>
      <c r="F3" s="41" t="s">
        <v>323</v>
      </c>
      <c r="G3" s="41" t="s">
        <v>324</v>
      </c>
    </row>
    <row r="4" customFormat="false" ht="15" hidden="false" customHeight="false" outlineLevel="0" collapsed="false">
      <c r="A4" s="40"/>
      <c r="B4" s="9" t="s">
        <v>325</v>
      </c>
      <c r="C4" s="40" t="s">
        <v>326</v>
      </c>
      <c r="D4" s="40" t="s">
        <v>327</v>
      </c>
      <c r="E4" s="40" t="s">
        <v>327</v>
      </c>
      <c r="F4" s="40" t="s">
        <v>328</v>
      </c>
      <c r="G4" s="40" t="s">
        <v>329</v>
      </c>
    </row>
    <row r="5" customFormat="false" ht="15" hidden="false" customHeight="false" outlineLevel="0" collapsed="false">
      <c r="A5" s="41"/>
      <c r="B5" s="6" t="s">
        <v>330</v>
      </c>
      <c r="C5" s="41" t="s">
        <v>331</v>
      </c>
      <c r="D5" s="41" t="s">
        <v>332</v>
      </c>
      <c r="E5" s="41" t="s">
        <v>333</v>
      </c>
      <c r="F5" s="41" t="s">
        <v>334</v>
      </c>
      <c r="G5" s="41" t="s">
        <v>335</v>
      </c>
    </row>
    <row r="6" customFormat="false" ht="15" hidden="false" customHeight="false" outlineLevel="0" collapsed="false">
      <c r="A6" s="40"/>
      <c r="B6" s="9" t="s">
        <v>336</v>
      </c>
      <c r="C6" s="40" t="s">
        <v>337</v>
      </c>
      <c r="D6" s="40" t="s">
        <v>338</v>
      </c>
      <c r="E6" s="40" t="s">
        <v>339</v>
      </c>
      <c r="F6" s="40" t="s">
        <v>340</v>
      </c>
      <c r="G6" s="40" t="s">
        <v>341</v>
      </c>
    </row>
    <row r="7" customFormat="false" ht="15" hidden="false" customHeight="false" outlineLevel="0" collapsed="false">
      <c r="A7" s="41"/>
      <c r="B7" s="6" t="s">
        <v>342</v>
      </c>
      <c r="C7" s="41" t="s">
        <v>343</v>
      </c>
      <c r="D7" s="41" t="s">
        <v>344</v>
      </c>
      <c r="E7" s="41" t="s">
        <v>345</v>
      </c>
      <c r="F7" s="41" t="s">
        <v>346</v>
      </c>
      <c r="G7" s="41" t="s">
        <v>346</v>
      </c>
    </row>
    <row r="8" customFormat="false" ht="26.85" hidden="false" customHeight="false" outlineLevel="0" collapsed="false">
      <c r="A8" s="40"/>
      <c r="B8" s="9" t="s">
        <v>347</v>
      </c>
      <c r="C8" s="40" t="s">
        <v>348</v>
      </c>
      <c r="D8" s="40" t="s">
        <v>349</v>
      </c>
      <c r="E8" s="40" t="s">
        <v>350</v>
      </c>
      <c r="F8" s="40" t="s">
        <v>350</v>
      </c>
      <c r="G8" s="40" t="s">
        <v>351</v>
      </c>
    </row>
    <row r="9" customFormat="false" ht="15" hidden="false" customHeight="false" outlineLevel="0" collapsed="false">
      <c r="A9" s="41"/>
      <c r="B9" s="6" t="s">
        <v>352</v>
      </c>
      <c r="C9" s="41" t="s">
        <v>350</v>
      </c>
      <c r="D9" s="41" t="s">
        <v>351</v>
      </c>
      <c r="E9" s="41" t="s">
        <v>351</v>
      </c>
      <c r="F9" s="41" t="s">
        <v>348</v>
      </c>
      <c r="G9" s="41" t="s">
        <v>349</v>
      </c>
    </row>
    <row r="10" customFormat="false" ht="15" hidden="false" customHeight="false" outlineLevel="0" collapsed="false">
      <c r="A10" s="40"/>
      <c r="B10" s="9" t="s">
        <v>353</v>
      </c>
      <c r="C10" s="40" t="s">
        <v>348</v>
      </c>
      <c r="D10" s="40" t="s">
        <v>351</v>
      </c>
      <c r="E10" s="40" t="s">
        <v>349</v>
      </c>
      <c r="F10" s="40" t="s">
        <v>349</v>
      </c>
      <c r="G10" s="40" t="s">
        <v>348</v>
      </c>
    </row>
    <row r="11" customFormat="false" ht="15" hidden="false" customHeight="false" outlineLevel="0" collapsed="false">
      <c r="A11" s="41"/>
      <c r="B11" s="6" t="s">
        <v>354</v>
      </c>
      <c r="C11" s="41" t="s">
        <v>355</v>
      </c>
      <c r="D11" s="41" t="s">
        <v>356</v>
      </c>
      <c r="E11" s="41" t="s">
        <v>357</v>
      </c>
      <c r="F11" s="41" t="s">
        <v>357</v>
      </c>
      <c r="G11" s="41" t="s">
        <v>357</v>
      </c>
    </row>
    <row r="12" customFormat="false" ht="15" hidden="false" customHeight="false" outlineLevel="0" collapsed="false">
      <c r="A12" s="40"/>
      <c r="B12" s="9" t="s">
        <v>358</v>
      </c>
      <c r="C12" s="40" t="s">
        <v>359</v>
      </c>
      <c r="D12" s="40" t="s">
        <v>359</v>
      </c>
      <c r="E12" s="40" t="s">
        <v>359</v>
      </c>
      <c r="F12" s="40" t="s">
        <v>359</v>
      </c>
      <c r="G12" s="40" t="s">
        <v>360</v>
      </c>
    </row>
    <row r="13" customFormat="false" ht="15" hidden="false" customHeight="false" outlineLevel="0" collapsed="false">
      <c r="A13" s="41"/>
      <c r="B13" s="6" t="s">
        <v>361</v>
      </c>
      <c r="C13" s="41" t="s">
        <v>350</v>
      </c>
      <c r="D13" s="41" t="s">
        <v>360</v>
      </c>
      <c r="E13" s="41" t="s">
        <v>350</v>
      </c>
      <c r="F13" s="41" t="s">
        <v>362</v>
      </c>
      <c r="G13" s="41" t="s">
        <v>349</v>
      </c>
    </row>
    <row r="14" customFormat="false" ht="26.85" hidden="false" customHeight="false" outlineLevel="0" collapsed="false">
      <c r="A14" s="40"/>
      <c r="B14" s="9" t="s">
        <v>363</v>
      </c>
      <c r="C14" s="40" t="s">
        <v>348</v>
      </c>
      <c r="D14" s="40" t="s">
        <v>349</v>
      </c>
      <c r="E14" s="40" t="s">
        <v>350</v>
      </c>
      <c r="F14" s="40" t="s">
        <v>351</v>
      </c>
      <c r="G14" s="40" t="s">
        <v>349</v>
      </c>
    </row>
    <row r="15" customFormat="false" ht="15" hidden="false" customHeight="false" outlineLevel="0" collapsed="false">
      <c r="A15" s="41"/>
      <c r="B15" s="6"/>
      <c r="C15" s="41"/>
      <c r="D15" s="41"/>
      <c r="E15" s="41"/>
      <c r="F15" s="41"/>
      <c r="G15" s="41"/>
    </row>
    <row r="16" customFormat="false" ht="15" hidden="false" customHeight="false" outlineLevel="0" collapsed="false">
      <c r="A16" s="42"/>
      <c r="B16" s="42" t="s">
        <v>364</v>
      </c>
      <c r="C16" s="42" t="s">
        <v>365</v>
      </c>
      <c r="D16" s="42" t="s">
        <v>366</v>
      </c>
      <c r="E16" s="42" t="s">
        <v>367</v>
      </c>
      <c r="F16" s="42" t="s">
        <v>367</v>
      </c>
      <c r="G16" s="42" t="s">
        <v>367</v>
      </c>
    </row>
    <row r="17" customFormat="false" ht="15" hidden="false" customHeight="false" outlineLevel="0" collapsed="false">
      <c r="A17" s="40"/>
      <c r="B17" s="43"/>
      <c r="C17" s="44"/>
      <c r="D17" s="45"/>
      <c r="E17" s="40"/>
      <c r="F17" s="40"/>
      <c r="G17" s="4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2026-03-28T06:28:33Z</dcterms:created>
  <dc:creator>openpyxl</dc:creator>
  <dc:description/>
  <dc:language>en-US</dc:language>
  <cp:lastModifiedBy/>
  <dcterms:modified xsi:type="dcterms:W3CDTF">2026-03-28T06:28:33Z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